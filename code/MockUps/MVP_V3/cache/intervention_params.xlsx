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bushare-my.sharepoint.com/personal/brooken_bu_edu/Documents/TIER plus/"/>
    </mc:Choice>
  </mc:AlternateContent>
  <xr:revisionPtr revIDLastSave="2308" documentId="8_{5A87B54A-705C-8B4B-B4C4-2648E407081E}" xr6:coauthVersionLast="47" xr6:coauthVersionMax="47" xr10:uidLastSave="{B88A1F4D-9557-4D2E-ADB4-398649550DD8}"/>
  <bookViews>
    <workbookView xWindow="1700" yWindow="1740" windowWidth="27020" windowHeight="16260" xr2:uid="{3655CBE5-0E8F-BC41-8085-555297440F15}"/>
  </bookViews>
  <sheets>
    <sheet name="main_sheet" sheetId="1" r:id="rId1"/>
    <sheet name="general_values" sheetId="5" r:id="rId2"/>
    <sheet name="Sheet2" sheetId="8" r:id="rId3"/>
    <sheet name="deaths_comparison" sheetId="7" r:id="rId4"/>
    <sheet name="Sheet1" sheetId="6" r:id="rId5"/>
    <sheet name="ignore" sheetId="3" r:id="rId6"/>
    <sheet name="original" sheetId="2" r:id="rId7"/>
  </sheets>
  <definedNames>
    <definedName name="_xlnm._FilterDatabase" localSheetId="0" hidden="1">main_sheet!$A$2:$J$115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E7" i="1"/>
  <c r="E11" i="1"/>
  <c r="E3" i="1"/>
  <c r="E113" i="1"/>
  <c r="D20" i="7"/>
  <c r="J4" i="7"/>
  <c r="J5" i="7"/>
  <c r="J6" i="7"/>
  <c r="J7" i="7"/>
  <c r="J8" i="7"/>
  <c r="J9" i="7"/>
  <c r="J10" i="7"/>
  <c r="J11" i="7"/>
  <c r="J12" i="7"/>
  <c r="J13" i="7"/>
  <c r="J14" i="7"/>
  <c r="J15" i="7"/>
  <c r="J16" i="7"/>
  <c r="J3" i="7"/>
  <c r="J20" i="7" s="1"/>
  <c r="D4" i="7"/>
  <c r="D5" i="7"/>
  <c r="D6" i="7"/>
  <c r="D7" i="7"/>
  <c r="D8" i="7"/>
  <c r="D9" i="7"/>
  <c r="D10" i="7"/>
  <c r="D11" i="7"/>
  <c r="D12" i="7"/>
  <c r="D13" i="7"/>
  <c r="D14" i="7"/>
  <c r="D15" i="7"/>
  <c r="D16" i="7"/>
  <c r="D3" i="7"/>
  <c r="K7" i="6"/>
  <c r="K8" i="6"/>
  <c r="K3" i="6"/>
  <c r="K4" i="6"/>
  <c r="K5" i="6"/>
  <c r="K6" i="6"/>
  <c r="K2" i="6"/>
  <c r="B15" i="5"/>
</calcChain>
</file>

<file path=xl/sharedStrings.xml><?xml version="1.0" encoding="utf-8"?>
<sst xmlns="http://schemas.openxmlformats.org/spreadsheetml/2006/main" count="1978" uniqueCount="707">
  <si>
    <t>We need EFFECTIVENESS measures, not efficacy (so how effective they are when implemented- not trial data- unless we only have trial data)</t>
  </si>
  <si>
    <t>BROOKE: Cost citation good?</t>
  </si>
  <si>
    <t>category</t>
  </si>
  <si>
    <t>intervention</t>
  </si>
  <si>
    <t>intervention_key</t>
  </si>
  <si>
    <t>parameter_type</t>
  </si>
  <si>
    <t>current_value</t>
  </si>
  <si>
    <t>tool_tip_source</t>
  </si>
  <si>
    <t>Data_Source</t>
  </si>
  <si>
    <t>Literature_Reference</t>
  </si>
  <si>
    <t>Description</t>
  </si>
  <si>
    <t>Notes</t>
  </si>
  <si>
    <t>Prevention</t>
  </si>
  <si>
    <t>PrEP (oral) - FSW</t>
  </si>
  <si>
    <t>prep_oral_fsw</t>
  </si>
  <si>
    <t>efficacy</t>
  </si>
  <si>
    <t>0.74*0.2</t>
  </si>
  <si>
    <t>See Brooke's prep excel 0.74 effectiveness * person years on prep from inititation https://journals.plos.org/plosmedicine/article?id=10.1371/journal.pmed.1003492.   https://www.thelancet.com/journals/lanhiv/article/PIIS2352-3018(24)00295-9/fulltext</t>
  </si>
  <si>
    <t>unit_cost</t>
  </si>
  <si>
    <t>Costs of consumables and medication were drawn from the South African HIV Investment Case cost model (2025, https://www.heroza.org/publications/the-south-african-hiv-investment-case-2025/) and applied uniformly across countries, reflecting globally procured commodity prices. Personnel costs from the same source were adjusted to each country's context using IMF purchasing power parity (PPP) conversion factors (https://www.imf.org/external/datamapper/PPPPC@WEO/OEMDC/ADVEC/WEOWORLD/AGO). All costs are reported in 2025 USD.</t>
  </si>
  <si>
    <t xml:space="preserve">South africa HIV cost model </t>
  </si>
  <si>
    <t xml:space="preserve"> Jamieson L, Modiba K, Meyer-Rath G (2024) National HIV Unit Cost Model, South Africa. Health Economics and Epidemiology Research Office, University of the Witwatersrand, Johannesburg.</t>
  </si>
  <si>
    <t>Yes (and country specific available in other workbook)</t>
  </si>
  <si>
    <t>eff_adherent</t>
  </si>
  <si>
    <t>Effectiveness of oral PrEP at reducing the risk of HIV acquisition. Source: https://journals.plos.org/plosmedicine/article?id=10.1371/journal.pmed.1003492</t>
  </si>
  <si>
    <t>person_years_on_prep</t>
  </si>
  <si>
    <t>Assumed average time on PrEP (months). Adapted from: https://www.thelancet.com/journals/lanhiv/article/PIIS2352-3018(24)00295-9/fulltext</t>
  </si>
  <si>
    <t>PrEP (oral) - MSM</t>
  </si>
  <si>
    <t>prep_oral_msm</t>
  </si>
  <si>
    <t>0.74*0.35</t>
  </si>
  <si>
    <t>PrEP (oral) - AGYW</t>
  </si>
  <si>
    <t>prep_oral_agyw</t>
  </si>
  <si>
    <t>PrEP (oral) - General</t>
  </si>
  <si>
    <t>prep_oral_general</t>
  </si>
  <si>
    <t>PrEP (oral)</t>
  </si>
  <si>
    <t>prep_oral</t>
  </si>
  <si>
    <t>Combined duration and efficacy 2/12 months * 50% efficacy</t>
  </si>
  <si>
    <t>Cheryl + systematic review</t>
  </si>
  <si>
    <t>RCT/meta-analysis evidence for oral PrEP efficacy in preventing HIV acquisition</t>
  </si>
  <si>
    <t>Median time on prep 60 days: https://www.thelancet.com/journals/lanhiv/article/PIIS2352-3018(24)00295-9/fulltext   For that time frame: 50% effective: https://jamanetwork.com/journals/jama/fullarticle/2808515</t>
  </si>
  <si>
    <t>Cost for two months of oral PrEP (includes drug + monitoring) (also based on Hendrickson et al 2025 lancet HIV paper)</t>
  </si>
  <si>
    <t>The average duration of continuation was 3.0 months, generating an average $pPY of $943, ranging from $839 among adolescent girls and young women to $1219 in men. (Zimbabwe, 2018 USD)</t>
  </si>
  <si>
    <t>These costs are kookoobananas :P. Let's maybe use the HIV south african cost model for this</t>
  </si>
  <si>
    <t>PrEP (LEN) - FSW</t>
  </si>
  <si>
    <t>prep_lenacapavir_fsw</t>
  </si>
  <si>
    <t>Assumption</t>
  </si>
  <si>
    <t>https://pubmed.ncbi.nlm.nih.gov/40441175/</t>
  </si>
  <si>
    <t>Assumed effectiveness of lenacapavir at reducing the risk of HIV acquisition during period of protection. Source: https://www.nejm.org/doi/10.1056/NEJMoa2407001</t>
  </si>
  <si>
    <t>second_shot_return_rate</t>
  </si>
  <si>
    <t xml:space="preserve">Probability that an individual initiating Lenacapavir returns for the second injection. Assumption. </t>
  </si>
  <si>
    <t>shot_coverage_years</t>
  </si>
  <si>
    <t>Number of months of protection provided per dose of lenacpavir.</t>
  </si>
  <si>
    <t>PrEP (LEN) - MSM</t>
  </si>
  <si>
    <t>prep_lenacapavir_msm</t>
  </si>
  <si>
    <t>PrEP (LEN) - AGYW</t>
  </si>
  <si>
    <t>prep_lenacapavir_agyw</t>
  </si>
  <si>
    <t>PrEP (LEN) - General</t>
  </si>
  <si>
    <t>prep_lenacapavir_general</t>
  </si>
  <si>
    <t>PrEP (Lenacapavir)</t>
  </si>
  <si>
    <t>prep_lenacapavir</t>
  </si>
  <si>
    <t>Based on PURPOSE-1 trial results</t>
  </si>
  <si>
    <t>100% effective for 6 months, assume only 50% come back for second injectible</t>
  </si>
  <si>
    <t>Jin EY, Ahmed AR, Bekker LG, Rousseau E, Dugdale CM, Flanagan CF, Wallace M, Freedberg KA, Orrell C, Reddy KP, Paltiel AD. Cost-effective pricing of long-acting injectable HIV pre-exposure prophylaxis for adolescent girls and young women in South Africa: a model-based analysis. The Lancet Global Health. 2025 Jul 1;13(7):e1230-9. &amp; Corlis J, Bollinger L, Mangenah C, Ncube G, Marake-Raleie N, Soothoane R, Gwavava E, Yemeke T, Eichleay M, Kapuganti S, Stegman P. The direct implementation costs of HIV pre-exposure prophylaxis in Lesotho and Zimbabwe: a costing study of PrEP choice involving oral pills, the dapivirine ring, and long-acting injectable cabotegravir to inform policy setting. medRxiv. 2026 Mar 6:2026-03.</t>
  </si>
  <si>
    <t>Estimated annual cost (highly uncertain - negotiated pricing pending)</t>
  </si>
  <si>
    <t>Len - $45 per person/year (negotiated costs); visit cost 1: $57, visit cost 2: $55 = $157 (Lesotho, SA, Zimbabwe, 2026 USD)</t>
  </si>
  <si>
    <t>VMMC</t>
  </si>
  <si>
    <t>vmmc</t>
  </si>
  <si>
    <t>https://iris.who.int/server/api/core/bitstreams/a13799eb-7613-460e-b40a-498ef0ad1a29/content</t>
  </si>
  <si>
    <t>WHO</t>
  </si>
  <si>
    <t>Protective effect of male circumcision from RCTs</t>
  </si>
  <si>
    <t>Generally reported as 60%, usually at least 50%, in contextes where VMMC alonsgside other HIV services</t>
  </si>
  <si>
    <t>Source: https://pubmed.ncbi.nlm.nih.gov/36563699/</t>
  </si>
  <si>
    <t>https://pubmed.ncbi.nlm.nih.gov/36563699/</t>
  </si>
  <si>
    <t>Bansi-Matharu L, Mudimu E, Martin-Hughes R, Hamilton M, Johnson L, Ten Brink D, Stover J, Meyer-Rath G, Kelly SL, Jamieson L, Cambiano V. Cost-effectiveness of voluntary medical male circumcision for HIV prevention across sub-Saharan Africa: results from five independent models. The Lancet Global Health. 2023 Feb 1;11(2):e244-55.</t>
  </si>
  <si>
    <t>Cost per VMMC procedure in target region</t>
  </si>
  <si>
    <t>Cost can range $30-200, PEPFAR cap at $90 (2023 USD)</t>
  </si>
  <si>
    <t>Yes</t>
  </si>
  <si>
    <t>Condoms</t>
  </si>
  <si>
    <t>condoms</t>
  </si>
  <si>
    <t>https://thembisa.org/content/downloadPage/Thembisa4_8report</t>
  </si>
  <si>
    <t>Thembisa</t>
  </si>
  <si>
    <t>Efficacy with consistent correct use</t>
  </si>
  <si>
    <t>per-act HIV transmission reduction when a condom is used correctly.</t>
  </si>
  <si>
    <t>Source: Jamieson L, Modiba K, Meyer-Rath G (2024) National HIV Unit Cost Model, South Africa. Health Economics and Epidemiology Research Office, University of the Witwatersrand, Johannesburg.</t>
  </si>
  <si>
    <t>Jamieson L, Modiba K, Meyer-Rath G (2024) National HIV Unit Cost Model, South Africa. Health Economics and Epidemiology Research Office, University of the Witwatersrand, Johannesburg.</t>
  </si>
  <si>
    <t>Cost per condom distributed</t>
  </si>
  <si>
    <t>UNAIDS: THE CONDOM  NEEDS ESTIMATION  USER GUIDE (2023 USD)</t>
  </si>
  <si>
    <t>PEP</t>
  </si>
  <si>
    <t>pep</t>
  </si>
  <si>
    <t>https://www.nejm.org/doi/10.1056/NEJM199711203372101?url_ver=Z39.88-2003&amp;rfr_id=ori:rid:crossref.org&amp;rfr_dat=cr_pub%20%200www.ncbi.nlm.nih.gov</t>
  </si>
  <si>
    <t>Very old study, what CDC and NIH reference, not much literature Another modelling study suggests efficacy varies significantly based on inititation time and duration of use (as well as regimen: https://onlinelibrary.wiley.com/doi/10.1002/jia2.26454)</t>
  </si>
  <si>
    <t>Post-exposure prophylaxis efficacy</t>
  </si>
  <si>
    <t>https://pubmed.ncbi.nlm.nih.gov/37734807/</t>
  </si>
  <si>
    <t>Phillips, A. N., Bansi-Matharu, L., Shahmanesh, M., Hargreaves, J. R., Smith, J., Revill, P., ... &amp; Cambiano, V. (2023). Potential cost-effectiveness of community availability of tenofovir, lamivudine, and dolutegravir for HIV prevention and treatment in east, central, southern, and west Africa: a modelling analysis. The Lancet Global Health, 11(10), e1648-e1657.</t>
  </si>
  <si>
    <t>Cost of 28-day PEP course</t>
  </si>
  <si>
    <t>Assumed based on approximately 3 months of TLD commodity pricing (2023 USD)</t>
  </si>
  <si>
    <t>Infant prophylaxis</t>
  </si>
  <si>
    <t>infant_prophylaxis</t>
  </si>
  <si>
    <t>https://pmc.ncbi.nlm.nih.gov/articles/PMC3945386/</t>
  </si>
  <si>
    <t>https://pmc.ncbi.nlm.nih.gov/articles/PMC3945386/  54% reduction between 6 weeks and 6 months. Assume limited protection after this point. Assumed NVP stopped after 6 months</t>
  </si>
  <si>
    <t>Source: https://pubmed.ncbi.nlm.nih.gov/38365416/</t>
  </si>
  <si>
    <t>https://pubmed.ncbi.nlm.nih.gov/38365416/</t>
  </si>
  <si>
    <t>Chevalier JM, Hansen MA, Coskun E, Sy KT, Drakes J, Dowling S, Williams A, Jenkins S, Amole C, Haimbe P, Mpasela F. Cost-effectiveness of intervention combinations towards the elimination of vertical transmission of HIV in limited-resource settings: a mathematical modelling study. The Lancet Global Health. 2024 Mar 1;12(3):e457-66.</t>
  </si>
  <si>
    <t>Cost per infant receiving prophylaxis</t>
  </si>
  <si>
    <t>Pulled from Zimbabwe eMTCT paper; per 6-week treatment (2023 USD)</t>
  </si>
  <si>
    <t>Cotrimoxazole prophylaxis</t>
  </si>
  <si>
    <t>cotrimoxazole</t>
  </si>
  <si>
    <t>Placeholder</t>
  </si>
  <si>
    <t>Tagar E, Sundaram M, Condliffe K, Matatiyo B, Chimbwandira F, Chilima B, Mwanamanga R, Moyo C, Chitah BM, Nyemazi JP, Assefa Y. Multi-country analysis of treatment costs for HIV/AIDS (MATCH): facility-level ART unit cost analysis in Ethiopia, Malawi, Rwanda, South Africa and Zambia. PloS one. 2014 Nov 12;9(11):e108304.</t>
  </si>
  <si>
    <t>Annual cost per person</t>
  </si>
  <si>
    <t xml:space="preserve">Range from $2-10 USD per person per year (2014 USD) </t>
  </si>
  <si>
    <t>This is weird</t>
  </si>
  <si>
    <t>Testing</t>
  </si>
  <si>
    <t>Network testing</t>
  </si>
  <si>
    <t>test_network</t>
  </si>
  <si>
    <t>https://pmc.ncbi.nlm.nih.gov/articles/PMC3387183/</t>
  </si>
  <si>
    <t>High sensitivity in literature</t>
  </si>
  <si>
    <t>Test sensitivity/specificity</t>
  </si>
  <si>
    <t>SA cost model</t>
  </si>
  <si>
    <t>Also took highest testing cost from the HIV Cost model for south africa;  Jamieson L, Modiba K, Meyer-Rath G (2024) National HIV Unit Cost Model, South Africa. Health Economics and Epidemiology Research Office, University of the Witwatersrand, Johannesburg.</t>
  </si>
  <si>
    <t>Cost per test (reagents + staff time)</t>
  </si>
  <si>
    <t>Costs of HIV testing services in sub-Saharan Africa - systematic review of 65 studies, used cost of secondary testing (2019 USD)</t>
  </si>
  <si>
    <t>linkage_rate</t>
  </si>
  <si>
    <t>https://onlinelibrary.wiley.com/doi/epdf/10.1002/jia2.25612</t>
  </si>
  <si>
    <t>Brooke paper</t>
  </si>
  <si>
    <t>Proportion of positive tests that link to ART for provider-based testing</t>
  </si>
  <si>
    <t>linkage_cost</t>
  </si>
  <si>
    <t>https://pmc.ncbi.nlm.nih.gov/articles/PMC10881889/</t>
  </si>
  <si>
    <t>Suraratdecha C, MacKellar D, Steiner C, et al. Cost-outcome analysis of HIV testing and counseling, linkage, and defaulter tracing services in Bukoba, Tanzania. AIDS Care. 2024;36(6):744-751. doi:10.1080/09540121.2023.2247959</t>
  </si>
  <si>
    <t>Cost of linkage support per person linked</t>
  </si>
  <si>
    <t>Costs per patient linked to HIV care with facility-based testing in Tanzania (2017 USD)</t>
  </si>
  <si>
    <t>Facility-based testing (general)</t>
  </si>
  <si>
    <t>test_facility_general</t>
  </si>
  <si>
    <t>SA cost model, PITC (negative) assumption; Jamieson L, Modiba K, Meyer-Rath G (2024) National HIV Unit Cost Model, South Africa. Health Economics and Epidemiology Research Office, University of the Witwatersrand, Johannesburg.</t>
  </si>
  <si>
    <t>Costs of HIV testing services in sub-Saharan Africa - systematic review of 65 studies (2019 USD)</t>
  </si>
  <si>
    <t>Index testing</t>
  </si>
  <si>
    <t>test_index</t>
  </si>
  <si>
    <t>https://pubmed.ncbi.nlm.nih.gov/39192180/</t>
  </si>
  <si>
    <t>Costs of HIV testing services in sub-Saharan Africa - systematic review of 65 studies, used mid-point of values reported for secondary testing and PLHIV partners ((27.52+20.71)/2) (2019 USD)</t>
  </si>
  <si>
    <t>NA</t>
  </si>
  <si>
    <t>Community-based testing</t>
  </si>
  <si>
    <t>test_community</t>
  </si>
  <si>
    <t>Cost per test (may be lower than facility)</t>
  </si>
  <si>
    <t>Proportion of positive tests that link to ART</t>
  </si>
  <si>
    <t>Key populations &amp; STI testing</t>
  </si>
  <si>
    <t>test_kpsti</t>
  </si>
  <si>
    <t>Took mobile testing cost from SA Cost model; Jamieson L, Modiba K, Meyer-Rath G (2024) National HIV Unit Cost Model, South Africa. Health Economics and Epidemiology Research Office, University of the Witwatersrand, Johannesburg.</t>
  </si>
  <si>
    <t>Cost per test in targeted settings</t>
  </si>
  <si>
    <t>Took highest testing cost from the HIV cost model for South Africa- home-based testing, and applied that cost here</t>
  </si>
  <si>
    <t>Cost of linkage support</t>
  </si>
  <si>
    <t>HIVST (Facility)</t>
  </si>
  <si>
    <t>hivst_facility</t>
  </si>
  <si>
    <t>https://aslm.org/academy/product/oraquick-hiv-self-test/</t>
  </si>
  <si>
    <t>ASLM reports high sensitivity</t>
  </si>
  <si>
    <t>Self-test sensitivity</t>
  </si>
  <si>
    <t>https://www.thelancet.com/journals/langlo/article/PIIS2214-109X(19)30534-0/fulltext</t>
  </si>
  <si>
    <t>Dovel et al</t>
  </si>
  <si>
    <t>Cost per self-test kit (all-inclusive of facility &amp; HCW costs)</t>
  </si>
  <si>
    <t>Zimbabwe, primary distribution channel,clients attending facility outpatient services (2019 USD)</t>
  </si>
  <si>
    <t>https://pmc.ncbi.nlm.nih.gov/articles/PMC11634545/</t>
  </si>
  <si>
    <t>Systematic review</t>
  </si>
  <si>
    <t>Lower linkage rate for self-testing (no immediate provider support)</t>
  </si>
  <si>
    <t>UPDATE NEEDED</t>
  </si>
  <si>
    <t>HIVST (Community)</t>
  </si>
  <si>
    <t>hivst_community</t>
  </si>
  <si>
    <t>http://dx.doi.org/10.1136/bmjgh-2021-005019</t>
  </si>
  <si>
    <t>Cost per self-test kit (may include distribution)</t>
  </si>
  <si>
    <t>Average of averages from community self-test distribution in Malawi, Zambia, and Zimbabwe ((8.15+16.42+13.84)/3) (2017 USD)</t>
  </si>
  <si>
    <t>Lower linkage rate for self-testing</t>
  </si>
  <si>
    <t>EID</t>
  </si>
  <si>
    <t>eid</t>
  </si>
  <si>
    <t>https://iris.who.int/server/api/core/bitstreams/938634d2-a35d-4dbf-be14-3e21c4d6a3e4/content</t>
  </si>
  <si>
    <t>98 % sens WHO Infomation Note 2017 - but I think it can vary quite a lot depending when? In thembisa the sensitivity varies based on exposure and birth vs six weeks</t>
  </si>
  <si>
    <t>Early infant diagnosis test sensitivity</t>
  </si>
  <si>
    <t>Source: Elsbernd K, Emmert-Fees KMF, Erbe A, et al. Costs and cost-effectiveness of HIV early infant diagnosis in low- and middle-income countries: a scoping review. Infect Dis Poverty. 2022;11(1):82. Published 2022 Jul 15. doi:10.1186/s40249-022-01006-7</t>
  </si>
  <si>
    <t>Elsbernd K, Emmert-Fees KMF, Erbe A, et al. Costs and cost-effectiveness of HIV early infant diagnosis in low- and middle-income countries: a scoping review. Infect Dis Poverty. 2022;11(1):82. Published 2022 Jul 15. doi:10.1186/s40249-022-01006-7</t>
  </si>
  <si>
    <t>Cost per infant tested (PCR test)</t>
  </si>
  <si>
    <t>Average from scoping review across 29 studies in LICs/LMICs reporting the costs of a mix of POCT and lab-based PCR (2021 USD)</t>
  </si>
  <si>
    <t>Yes (close to the SA investment case too)</t>
  </si>
  <si>
    <t>Confirm source w Brooke</t>
  </si>
  <si>
    <t>Proportion linking to pediatric ART</t>
  </si>
  <si>
    <t xml:space="preserve">90%/13% for POC &amp; SOC arm after 60 days, 62%/43% after 90 days - https://journals.lww.com/aidsonline/abstract/2018/07170/effect_of_point_of_care_early_infant_diagnosis_on.8.aspx </t>
  </si>
  <si>
    <t>https://pubmed.ncbi.nlm.nih.gov/27540110/</t>
  </si>
  <si>
    <t>Francke JA, Penazzato M, Hou T, et al. Clinical Impact and Cost-effectiveness of Diagnosing HIV Infection During Early Infancy in South Africa: Test Timing and Frequency. J Infect Dis. 2016;214(9):1319-1328. doi:10.1093/infdis/jiw379</t>
  </si>
  <si>
    <t>Cost of linkage support for infants</t>
  </si>
  <si>
    <t>Return for positive NAAT result plus indicated counseling (asumption: nurse time * salary) (2013 USD) *** I feel a bit uncertain by these costs suggested by Hanul @ CHAI - this assumption seems to use costs significantly lower than the other linkage costs, which used some kind of counseling to connect patients with the next step of HIV care and enrollment.</t>
  </si>
  <si>
    <t>ANC HIV testing</t>
  </si>
  <si>
    <t>anc_hiv_testing</t>
  </si>
  <si>
    <t>Proportion linking to ART/PMTCT</t>
  </si>
  <si>
    <t>Cost per test in ANC</t>
  </si>
  <si>
    <t>Pulled from Zimbabwe eMTCT paper; cost per test (2023 USD) *** I am a bit concerned with these costs because they are much lower than all the other testing costs - leaning towards using the systematic review I have used for many other costs (Ahmed et al, 2024) of  $39.25 in ANC &amp; PNC (2019 USD)</t>
  </si>
  <si>
    <t>PNC HIV testing</t>
  </si>
  <si>
    <t>pnc_hiv_testing</t>
  </si>
  <si>
    <t>Cost per test in PNC</t>
  </si>
  <si>
    <t>Monitoring</t>
  </si>
  <si>
    <t>Routine VL monitoring</t>
  </si>
  <si>
    <t>vl_monitoring_routine</t>
  </si>
  <si>
    <t xml:space="preserve">Gatekeeper </t>
  </si>
  <si>
    <t>Gatekeeper parameter - no effect itself, but triggers EAC</t>
  </si>
  <si>
    <t>Effect of a test on supression</t>
  </si>
  <si>
    <t>Source: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</si>
  <si>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https://pmc.ncbi.nlm.nih.gov/articles/PMC12205209/</t>
  </si>
  <si>
    <t>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</si>
  <si>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Alex! This cell is blank? Is it supposed to be cost per routine VL test performed in lab?</t>
  </si>
  <si>
    <t>I think so  - all in cost for VL test (2023 USD)</t>
  </si>
  <si>
    <t>MMD 3-month</t>
  </si>
  <si>
    <t>mmd_3month</t>
  </si>
  <si>
    <t>From zambia paper</t>
  </si>
  <si>
    <t>https://onlinelibrary.wiley.com/doi/10.1002/jia2.70003</t>
  </si>
  <si>
    <t>Retention improvement vs monthly dispensing for "stable" clients</t>
  </si>
  <si>
    <t>Assume no improvement over stable patients eligible for DDS</t>
  </si>
  <si>
    <t>-$10,18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</si>
  <si>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Cost reduction compared to standard of care ART costs (annual) percentage change</t>
  </si>
  <si>
    <t>Provider cost per client per year, difference between 3MMD and conventional care not eligible for DSD, 109.05 - 119.23 (2023 USD)</t>
  </si>
  <si>
    <t>MMD 6-month</t>
  </si>
  <si>
    <t>mmd_6month</t>
  </si>
  <si>
    <t>Retention improvement vs 3MMD</t>
  </si>
  <si>
    <t>-$19.51 from SOC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</si>
  <si>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Cost reduction compared to standard of care ART costs (annual)</t>
  </si>
  <si>
    <t>Provider cost per client per year, difference between 6MMD and conventional care not eligible for DSD, 99.72 - 119.23 (2023 USD)</t>
  </si>
  <si>
    <t>MMD 12-month</t>
  </si>
  <si>
    <t>mmd_12month</t>
  </si>
  <si>
    <t>-$27.99 from SOC ART 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</si>
  <si>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Provider cost per client per year, difference between 12MMD and conventional care not eligible for DSD, 91.24 - 119.23. No 12MMD cost reported from similar study, so used regression of reductions from conventional -&gt; 3MMD -&gt; 6MMD to estimate annual 12MMD cost (91.24) (2023 USD)</t>
  </si>
  <si>
    <t>Community pick-up</t>
  </si>
  <si>
    <t>community_pickup</t>
  </si>
  <si>
    <t>-$13.04 from SOC ART (114,39)Lekodeba NA, Rosen S, Phiri B, Masuku SD, Govathson C, Kamanga A, Haimbe P, Shakwelele H, Mwansa M, Lumano‐Mulenga P, Huber AN. Cost and effectiveness of differentiated ART service delivery strategies in Zambia: a modelling analysis using routine data. Journal of the International AIDS Society. 2025 Jul;28(7):e70003.</t>
  </si>
  <si>
    <t>Provider cost per client per year, difference between community ART distribution and conventional care not eliglble for DSD, 106.19 - 119.23 (2023 USD)</t>
  </si>
  <si>
    <t>Annual clinical visit for stable clients</t>
  </si>
  <si>
    <t>clinical_visit_12month</t>
  </si>
  <si>
    <t>Percentage point change in viral suppression among currently unsuprressed stable clients. Source: https://onlinelibrary.wiley.com/doi/10.1002/jia2.26164</t>
  </si>
  <si>
    <t>https://bushare-my.sharepoint.com/:x:/g/personal/brooken_bu_edu/IQCDHTYCdtCCSan681dXJcGkAbVywRQhyZhA2qYZQfrrd0w?e=ZHxogx</t>
  </si>
  <si>
    <t>1% imporvement in viral suppression for 12 months</t>
  </si>
  <si>
    <t xml:space="preserve">Source: Costs of consumables and medication were drawn from the South African HIV Investment Case cost model (2025, https://www.heroza.org/publications/the-south-african-hiv-investment-case-2025/) </t>
  </si>
  <si>
    <t>UPDATE NEEDED - percentage change in cost</t>
  </si>
  <si>
    <t>Retention</t>
  </si>
  <si>
    <t>Adherence counseling</t>
  </si>
  <si>
    <t>adherence_counseling</t>
  </si>
  <si>
    <t>Literature</t>
  </si>
  <si>
    <t>51% pooled VS after EAC (incoporate non-sompletion) https://link.springer.com/article/10.1186/s12982-025-00386-z        63% Systematic review pooled effct - viral suppression rates after 3 months of EAC.  Not sure if we may need to modulate this somehow? For example if people do not get EAC for all three months https://pmc.ncbi.nlm.nih.gov/articles/PMC12777189/</t>
  </si>
  <si>
    <t>Adherence/suppression improvement from counseling</t>
  </si>
  <si>
    <t>Source: Nichols et al. Community-based delivery of HIV treatment in Zambia: costs and outcomes. AIDs 2021. https://pubmed.ncbi.nlm.nih.gov/33170578/</t>
  </si>
  <si>
    <t>https://journals.lww.com/aidsonline/fulltext/2021/02020/community_based_delivery_of_hiv_treatment_in.14.aspx</t>
  </si>
  <si>
    <t>Nichols et al, AIDS 2021 (https://pubmed.ncbi.nlm.nih.gov/33170578/)</t>
  </si>
  <si>
    <t>Assumed half the cost of the facility visits</t>
  </si>
  <si>
    <t>Adherence groups (2023 USD)</t>
  </si>
  <si>
    <t>Tracking &amp; tracing</t>
  </si>
  <si>
    <t>tracking_tracing</t>
  </si>
  <si>
    <t>Assumption - 22% increase from this paper: https://pmc.ncbi.nlm.nih.gov/articles/PMC5848300/</t>
  </si>
  <si>
    <t>Return to care rate for LTFU patients</t>
  </si>
  <si>
    <t>Source: Weldemariam H, Thawani A, Kiruthu-Kamamia C, et al. How much does it cost to retain clients on antiretroviral treatment for one year in a large, public clinic? Routine financial costs of retention interventions at Lighthouse Trust in Lilongwe, Malawi. BMC Res Notes. 2025;18(1):101. Published 2025 Mar 7. doi:10.1186/s13104-024-07077-z</t>
  </si>
  <si>
    <t>https://pubmed.ncbi.nlm.nih.gov/40055806/</t>
  </si>
  <si>
    <t>Weldemariam H, Thawani A, Kiruthu-Kamamia C, et al. How much does it cost to retain clients on antiretroviral treatment for one year in a large, public clinic? Routine financial costs of retention interventions at Lighthouse Trust in Lilongwe, Malawi. BMC Res Notes. 2025;18(1):101. Published 2025 Mar 7. doi:10.1186/s13104-024-07077-z</t>
  </si>
  <si>
    <t>Cost per person traced</t>
  </si>
  <si>
    <t>Micro-costing from the payer perspective, we estimated costs for two retention interventions: ART Buddies, who support new initiates for 12 months, and Back-to-Care (B2C) tracing, which targets clients missing visits by ≥14 days (2021 USD) MH: I feel like this value is high, especially compared to the cost of about $4.25 we used in the eMTCT paper for LTFU minimization... this seems like a combo with peer-support.</t>
  </si>
  <si>
    <t>Yes (and wow, this is kind of wild)</t>
  </si>
  <si>
    <t>ANC VL testing</t>
  </si>
  <si>
    <t>anc_vl_testing</t>
  </si>
  <si>
    <t>Not specific to ANC https://www.thelancet.com/journals/lanhiv/article/PIIS2352-3018(19)30402-3/fulltext</t>
  </si>
  <si>
    <t>VL suppression improvement in pregnant women</t>
  </si>
  <si>
    <t>10.3% (95% CI: 3.9-16.8) - not specific to ANC or pregnant women - https://www.thelancet.com/journals/lanhiv/article/PIIS2352-3018(19)30402-3/fulltext</t>
  </si>
  <si>
    <t>Cost per VL test in pregnancy</t>
  </si>
  <si>
    <t>Pulled from Nkgomeleng's paper, no specific costs found on ANC-specific VL (2023 USD)</t>
  </si>
  <si>
    <t>PNC VL testing</t>
  </si>
  <si>
    <t>pnc_vl_testing</t>
  </si>
  <si>
    <t>https://www.thelancet.com/journals/lanhiv/article/PIIS2352-3018(19)30402-3/fulltext</t>
  </si>
  <si>
    <t>Are we really excecting this to be any different than ANC?</t>
  </si>
  <si>
    <t>Pulled from Nkgomeleng's paper, no specific costs found on PNC-specific VL (2023 USD)</t>
  </si>
  <si>
    <t>Advanced_Disease</t>
  </si>
  <si>
    <t>CD4 testing</t>
  </si>
  <si>
    <t>cd4_testing</t>
  </si>
  <si>
    <t>Gatekeeper paramter</t>
  </si>
  <si>
    <t>No value needed, gatekeeps further services</t>
  </si>
  <si>
    <t>Source: Global Fund Product Procurement Mechanism reference pricing: RDTs. https://www.theglobalfund.org/media/2ffcrcra/psm_hivrdtreferencepricing_table_en.pdf</t>
  </si>
  <si>
    <t>Global Fund PPM ARV RDT Pricing (Q4 2025) - CHAI</t>
  </si>
  <si>
    <t>Cost per CD4 test for all new ART initiations</t>
  </si>
  <si>
    <t>Commodity cost per CD4 test for AHD management and all new ART initiations
Assumption: VISITECT for all CD4 POC testings, which accounts for 1/3 of total CD4 testing volume, and other ~2/3 are conventional CD4. (from CHAI forecasting for 2025 Market Report). $0.41 for clinic medical consumables, $0.11 for POC lab consumables, $4.84 for conventional lab consumables, $1.64 for POC supply cost (from Simeon et al. (2019) - accounting 10% wastages</t>
  </si>
  <si>
    <t>AHD package</t>
  </si>
  <si>
    <t>ahd_package</t>
  </si>
  <si>
    <t>https://www.nejm.org/doi/10.1056/NEJMoa1615822?url_ver=Z39.88-2003&amp;rfr_id=ori:rid:crossref.org&amp;rfr_dat=cr_pub%20%200www.ncbi.nlm.nih.gov#APPNEJMoa1615822SUP</t>
  </si>
  <si>
    <t>From papers</t>
  </si>
  <si>
    <t>Mortality reduction from full AHD package (LAM + CrAg + fluconazole)</t>
  </si>
  <si>
    <t>https://www.nejm.org/doi/10.1056/NEJMoa1615822?url_ver=Z39.88-2003&amp;rfr_id=ori:rid:crossref.org&amp;rfr_dat=cr_pub%20%200www.ncbi.nlm.nih.gov#APPNEJMoa1615822SUP and https://pmc.ncbi.nlm.nih.gov/articles/PMC12286912/#sec1</t>
  </si>
  <si>
    <t>Cost of LAM + CrAg + fluconazole (not including CD4)</t>
  </si>
  <si>
    <t>Total Cost of TB-LAM + CrAg + lumbar puncture (for CSF CrAg) + treatment (not including CD4) per patient
Assumptions: 
1) All clients with CD4 &lt; 200 will receive TB-LAM and CrAg
2) 9.6% of clients living with HIV who take 1st CrAg test positive, and among positive case, 50% of clients get 2nd CrAg positive
3) 6% of clients living with HIV (regardless of symptoms) who take TB-LAM test have active TB, enter treatment</t>
  </si>
  <si>
    <t>key</t>
  </si>
  <si>
    <t>value</t>
  </si>
  <si>
    <t>description</t>
  </si>
  <si>
    <t>Source</t>
  </si>
  <si>
    <t>mortality_untreated_undiagnosed</t>
  </si>
  <si>
    <t>MORTALITY_RATES$untreated_undiagnosed</t>
  </si>
  <si>
    <t>Weighted Averaged across the 350-500and 500+ CD4 using IEDEA Cd4 counts  count https://pmc.ncbi.nlm.nih.gov/articles/PMC6919230/#sec6</t>
  </si>
  <si>
    <t>mortality_new_art_initiations</t>
  </si>
  <si>
    <t>MORTALITY_RATES$new_art_initiations</t>
  </si>
  <si>
    <t>Thembisa first 6 months on treatment weighted average 200+</t>
  </si>
  <si>
    <t>mortality_treated</t>
  </si>
  <si>
    <t>MORTALITY_RATES$treated (unsurpressed)</t>
  </si>
  <si>
    <t>Average mortality across weighted cd4 (200+), sex and for 7+ months on ART</t>
  </si>
  <si>
    <t>mortality_suppressed</t>
  </si>
  <si>
    <t>MORTALITY_RATES$suppressed</t>
  </si>
  <si>
    <t>mortality_ahd_new</t>
  </si>
  <si>
    <t>P(die in year 1) = 1 − P(survive year 1) = 1 − P(survive first 6 months) × P(survive months 7-12) = 1 − (1 − rate₁/2) × (1 − rate₂/2) = 1 − (1 − 0.2379/2) × (1 − 0.0566/2)</t>
  </si>
  <si>
    <t>mortality_ahd_established</t>
  </si>
  <si>
    <t>Average &lt;200 mortality 7+ months on ART</t>
  </si>
  <si>
    <t>mortality_ahd_untreated</t>
  </si>
  <si>
    <t>MORTALITY_RATES$ahd_untreated</t>
  </si>
  <si>
    <t>Thembisa Table 3.1 (V5) - untreated mortality cd4&lt;200</t>
  </si>
  <si>
    <t>prop_ahd_undiagnosed</t>
  </si>
  <si>
    <t>MORTALITY_RATES$prop_ahd$undiagnosed</t>
  </si>
  <si>
    <t>https://pmc.ncbi.nlm.nih.gov/articles/PMC11868778/</t>
  </si>
  <si>
    <t>prop_ahd_diagnosed_not_art</t>
  </si>
  <si>
    <t>MORTALITY_RATES$prop_ahd$diagnosed_not_art</t>
  </si>
  <si>
    <t>prop_ahd_new_initiations</t>
  </si>
  <si>
    <t>MORTALITY_RATES$prop_ahd$new_initiations</t>
  </si>
  <si>
    <t>prop_ahd_established_treated</t>
  </si>
  <si>
    <t>MORTALITY_RATES$prop_ahd$established_treated</t>
  </si>
  <si>
    <t>prop_ahd_established_supp</t>
  </si>
  <si>
    <t>MORTALITY_RATES$prop_ahd$established_supp</t>
  </si>
  <si>
    <t>ltfu_rate_stable</t>
  </si>
  <si>
    <t>ANNUAL_LTFU_RATE_STABLE</t>
  </si>
  <si>
    <t>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t>
  </si>
  <si>
    <r>
      <rPr>
        <sz val="12"/>
        <color rgb="FF000000"/>
        <rFont val="Aptos Narrow"/>
      </rPr>
      <t xml:space="preserve">DSD study - ~94% retained in control: </t>
    </r>
    <r>
      <rPr>
        <b/>
        <sz val="12"/>
        <color rgb="FF000000"/>
        <rFont val="Aptos Narrow"/>
      </rPr>
      <t>https://pubmed.ncbi.nlm.nih.gov/34713614/.     Nigeria DSD clients 10.5% LTFU https://pmc.ncbi.nlm.nih.gov/articles/PMC8554211/ Settled on 8% total attrittion - assumed 70% remaining could be other factors</t>
    </r>
  </si>
  <si>
    <t>ltfu_rate_unstable</t>
  </si>
  <si>
    <t>ANNUAL_LTFU_RATE_UNSTABLE</t>
  </si>
  <si>
    <t>12. months after inititation 20.4% LTFU: https://pmc.ncbi.nlm.nih.gov/articles/PMC12411737/. - take only a proprtion of this</t>
  </si>
  <si>
    <t>spontaneous_reengagement_rate</t>
  </si>
  <si>
    <t>ANNUAL_SPONTANEOUS_REENGAGEMENT_RATE</t>
  </si>
  <si>
    <r>
      <rPr>
        <sz val="12"/>
        <color rgb="FF000000"/>
        <rFont val="Aptos Narrow"/>
      </rPr>
      <t xml:space="preserve">Uses silent transfers as an estimate. Some poeple will jst come back without intervention17% silent transfers https://pmc.ncbi.nlm.nih.gov/articles/PMC8800181/.   14.8% silent transfer: </t>
    </r>
    <r>
      <rPr>
        <b/>
        <sz val="12"/>
        <color rgb="FF000000"/>
        <rFont val="Aptos Narrow"/>
      </rPr>
      <t>https://pubmed.ncbi.nlm.nih.gov/29889240/.    10% return on their own: https://pmc.ncbi.nlm.nih.gov/articles/PMC5848300/</t>
    </r>
  </si>
  <si>
    <t>retention_suppression_rate</t>
  </si>
  <si>
    <t>RETENTION_SUPPRESSION_RATE</t>
  </si>
  <si>
    <t>Average viral suppression improvement across considered DSD models in Zambia paperhttps://onlinelibrary.wiley.com/doi/10.1002/jia2.70003</t>
  </si>
  <si>
    <t>mtct_on_art_suppressed</t>
  </si>
  <si>
    <t>MTCT_RATES$on_art_suppressed</t>
  </si>
  <si>
    <t>ON ART before conception https://www.thelancet.com/journals/lanhiv/article/PIIS2352-3018(25)00132-8/fulltext#tbl1</t>
  </si>
  <si>
    <t>mtct_on_art_unsuppressed</t>
  </si>
  <si>
    <t>MTCT_RATES$on_art_unsuppressed</t>
  </si>
  <si>
    <t>MEGAN MTCT paper https://www.thelancet.com/journals/langlo/article/PIIS2214-109X(23)00588-0/fulltext</t>
  </si>
  <si>
    <t>mtct_not_on_art</t>
  </si>
  <si>
    <t>MTCT_RATES$not_on_art</t>
  </si>
  <si>
    <t>https://www.thelancet.com/journals/lanhiv/article/PIIS2352-3018(25)00132-8/fulltext#tbl1</t>
  </si>
  <si>
    <t>infant_mort_untreated</t>
  </si>
  <si>
    <t>INFANT_MORTALITY_RATES$untreated</t>
  </si>
  <si>
    <t>Based on Bequet 2012 - One year after acquisition of HIV infection, an estimated 26% postnatally and 52% perinatally infected children would have died; and 4% uninfected children by age 1 year.HIV related 22 vs 48 respectively. Weight by expected prenatal and postnatal (33/66?)</t>
  </si>
  <si>
    <t>infant_mort_on_art</t>
  </si>
  <si>
    <t>INFANT_MORTALITY_RATES$on_art</t>
  </si>
  <si>
    <t>https://pmc.ncbi.nlm.nih.gov/articles/PMC6360742/ (3.7% in https://www.thelancet.com/journals/eclinm/article/PIIS2589-5370(24)00227-X/fulltext)</t>
  </si>
  <si>
    <t>infant_mort_suppressed</t>
  </si>
  <si>
    <t>INFANT_MORTALITY_RATES$suppressed</t>
  </si>
  <si>
    <t>More of an assumption? Not sure if I should ratehr just leave the same rate regarless of suppression status since they are all in their first year</t>
  </si>
  <si>
    <t>acts_per_year_high</t>
  </si>
  <si>
    <t>ACTS_PER_YEAR_HIGH</t>
  </si>
  <si>
    <t xml:space="preserve">Thembisa: "assuming that the average sex worker has
750 client contacts per annum [46-53]. (Some downward adjustment is made to the survey
estimate to take into account differences in definitions of commercial sex.) The model
estimates substantial age variation in the rate at which men visit sex workers, with the rate
reaching as high as 63 contacts per annum in unmarried high-risk males aged 37 (Table 2.3)." Assumption to pull it down a bit? Could potentially weight it by estimates of high-risk that are FSW vs others. If a high-risk individual has ~2 short-term partnerships per year (18 acts each = 36/year) plus occasional commercial-sex contacts, you could land around 40–60 acts/year for the non-FSW high-risk group. </t>
  </si>
  <si>
    <t>acts_per_year_gen</t>
  </si>
  <si>
    <t>ACTS_PER_YEAR_GEN</t>
  </si>
  <si>
    <t>Thembisa 2.7: For married women who are aged 20, the average number of spousal sex acts per month is
assumed to be 5, and this number is assumed to halve for each 20-year increase in age (20yrs -60, 40 years-30). High risk not necessarily only sex workers?</t>
  </si>
  <si>
    <t>condom_use_rate_high</t>
  </si>
  <si>
    <t>CONDOM_USE_RATE_HIGH</t>
  </si>
  <si>
    <t>Avg 2013 figured reported Table 2.5 Thembisa</t>
  </si>
  <si>
    <t>condom_use_rate_gen</t>
  </si>
  <si>
    <t>CONDOM_USE_RATE_GEN</t>
  </si>
  <si>
    <t>Estimated figure 2.7 for this in the thembisa documentation, it's closer to 50%, maybe a bit lower</t>
  </si>
  <si>
    <t>prop_retest_default</t>
  </si>
  <si>
    <t>Default retest prop</t>
  </si>
  <si>
    <t>Mean of data for inititally included included countries</t>
  </si>
  <si>
    <t>pmtct_cascade_supp_discount</t>
  </si>
  <si>
    <t>PMTCT ANC cascade supp discount (line 1497) - weighting of those inititated on ART during pmtct that become supressed relative to the general suppression rate (3rd 90 value)</t>
  </si>
  <si>
    <t>https://pmc.ncbi.nlm.nih.gov/articles/PMC9292699/. ~85 of those on ART for three months and started during pregnancy achived CS relative to 91.5% who started before and were VS/ Relative weighting ~92%</t>
  </si>
  <si>
    <t>tracking_reengagement_supp</t>
  </si>
  <si>
    <t>Suppressionr ate for those rengaging</t>
  </si>
  <si>
    <t>https://www.nejm.org/doi/10.1056/NEJMoa1902824#sec-1 https://www.thelancet.com/journals/lanhiv/article/PIIS2352-3018(22)00136-9/fulltext. taking Eline's Soth AFrica and malawi studies. Betwene the 6 mont and 12 month surpressionr rates</t>
  </si>
  <si>
    <t>Should these be standalone rates or rate relative to the countr's surpression</t>
  </si>
  <si>
    <t>testing_art_init_supp</t>
  </si>
  <si>
    <t>Suppression rate for new initiators</t>
  </si>
  <si>
    <t>eid_supp_rate</t>
  </si>
  <si>
    <t>EID isuppression at one year after starting ART</t>
  </si>
  <si>
    <t>38% VS at 1 year - https://www.thelancet.com/journals/eclinm/article/PIIS2589-5370(24)00227-X/fulltext</t>
  </si>
  <si>
    <t>sexually_active_frac</t>
  </si>
  <si>
    <t>Fraction of adult pop sexually active (L490)</t>
  </si>
  <si>
    <t>80% https://pmc.ncbi.nlm.nih.gov/articles/PMC4721939/. -more than 90% https://pmc.ncbi.nlm.nih.gov/articles/PMC2654146/</t>
  </si>
  <si>
    <t>prop_on_art_stable_diff</t>
  </si>
  <si>
    <t>Difference between suppressed and prop on ART stable</t>
  </si>
  <si>
    <t>Assumption - assume equal suppressed. If changing value, enter at 10 for 10% (not 0.1)</t>
  </si>
  <si>
    <t>default_prop_pop_male</t>
  </si>
  <si>
    <t>Fallback %male (L498, L604)</t>
  </si>
  <si>
    <t>default_prop_pop_under_14</t>
  </si>
  <si>
    <t>Fallback %under-14 (L500, L606)</t>
  </si>
  <si>
    <t>default_circ_prevalence</t>
  </si>
  <si>
    <t>Fallback circ prevalence (L502, L608)</t>
  </si>
  <si>
    <t>Mean of availble GAM data for inititally included countries</t>
  </si>
  <si>
    <t>default_prop_high_risk</t>
  </si>
  <si>
    <t>Fallback high-risk frac (L504, L609)</t>
  </si>
  <si>
    <t>default_rr_high</t>
  </si>
  <si>
    <t>Fallback RR high-risk stratum (L610)</t>
  </si>
  <si>
    <t>https://journals.lww.com/jaids/fulltext/2024/01011/comparison_of_empirically_derived_and_model_based.6.aspx</t>
  </si>
  <si>
    <t>average_linkage_cap</t>
  </si>
  <si>
    <t>Cap on initiations from testing</t>
  </si>
  <si>
    <t>Places a cap on total iniitations from tetsing - cannot exceed positive tests * expected max linkage from facility tests. Set the same as linkage rates from facility tetsing</t>
  </si>
  <si>
    <t>prop_hivst_com</t>
  </si>
  <si>
    <t>Proprtion of HIVST in community (not sure on this)- in our SA analysis it was the other way around</t>
  </si>
  <si>
    <t>STAR (SA) 63% community  https://link.springer.com/article/10.1186/s12879-025-10662-7  Eswating (small): 73% community: https://onlinelibrary.wiley.com/doi/full/10.1111/tmi.13396</t>
  </si>
  <si>
    <t>prop_cd4_ahd</t>
  </si>
  <si>
    <t>Proprtion of CD4 tests performed that are targeted at those with AHD</t>
  </si>
  <si>
    <t>Frome IEDEA, 2023 aproximately 37% of cd4 test results were AHD</t>
  </si>
  <si>
    <t>cov_gen_female</t>
  </si>
  <si>
    <t>check this 0.5</t>
  </si>
  <si>
    <t>testing_reengagement_cap_frac</t>
  </si>
  <si>
    <t>Cap on the number of LTFU that can be renegaged through testing</t>
  </si>
  <si>
    <t xml:space="preserve">Assumption </t>
  </si>
  <si>
    <t>new_diagnoses_cap_prop</t>
  </si>
  <si>
    <t>Maximum proprtion of all those never diagnosed that can be found through testing</t>
  </si>
  <si>
    <t>prep_high_risk_fold</t>
  </si>
  <si>
    <t>Preferential rate at which high-risk indiviudals are allocated prep</t>
  </si>
  <si>
    <t>Assumption - to make an aproximately 50/50 split between prep to high-risk and general</t>
  </si>
  <si>
    <t>bf_duration_months</t>
  </si>
  <si>
    <t>Duration of breastfeeding (months)</t>
  </si>
  <si>
    <t>nvp_prophylaxis_duration_months</t>
  </si>
  <si>
    <t>12 weeks NVP</t>
  </si>
  <si>
    <t>acute_bf_transmission</t>
  </si>
  <si>
    <t>https://pmc.ncbi.nlm.nih.gov/articles/PMC6919230/#sec6</t>
  </si>
  <si>
    <t>art_cost_standard</t>
  </si>
  <si>
    <t>default_rr_fsw</t>
  </si>
  <si>
    <t>Thembisa v5.0 SA output 2024: FSW incidence 0.019024 ÷ general 15+ 0.003590 = 5.30. Realised-incidence ratio vs general adult population, used as approximation for acquisition-risk weight. SA-specific; applied as global default.</t>
  </si>
  <si>
    <t>default_rr_msm</t>
  </si>
  <si>
    <t>Thembisa v5.0 SA output 2024: MSM incidence 0.013945 ÷ general 15+ 0.003590 = 3.88, rounded to 4. Same caveats.</t>
  </si>
  <si>
    <t>default_rr_agyw</t>
  </si>
  <si>
    <t>Thembisa v5.0 SA output 2024: female 15-24 incidence 0.008936 ÷ general 15+ 0.003590 = 2.49, rounded to 2.5. Same caveats.</t>
  </si>
  <si>
    <t>default_prep_general_prop_female</t>
  </si>
  <si>
    <t>Prep data from JEFF - split between sex  for everyone who's not FSW, AGYW or MSM</t>
  </si>
  <si>
    <t>prep_alloc_share_fsw</t>
  </si>
  <si>
    <t xml:space="preserve">Prep data from JEFF </t>
  </si>
  <si>
    <t>prep_alloc_share_msm</t>
  </si>
  <si>
    <t>prep_alloc_share_agyw</t>
  </si>
  <si>
    <t>prep_alloc_share_general</t>
  </si>
  <si>
    <t>https://pmc.ncbi.nlm.nih.gov/articles/PMC6556977/</t>
  </si>
  <si>
    <t>https://www.thelancet.com/journals/lanhiv/article/PIIS2352-3018(25)00132-8/fulltext</t>
  </si>
  <si>
    <t>ARV prophylaxis efficacy for HIV-exposed infants</t>
  </si>
  <si>
    <t>Proprtional (unchecked baseline)</t>
  </si>
  <si>
    <t>Adapted (unchecked baseline)</t>
  </si>
  <si>
    <t>Country</t>
  </si>
  <si>
    <t>Last year</t>
  </si>
  <si>
    <t>Model</t>
  </si>
  <si>
    <t>Diff</t>
  </si>
  <si>
    <t>Botswana</t>
  </si>
  <si>
    <t>Cote d'Ivoire</t>
  </si>
  <si>
    <t>Eswaitin</t>
  </si>
  <si>
    <t>Ghana</t>
  </si>
  <si>
    <t>Kenya</t>
  </si>
  <si>
    <t>Lesotho</t>
  </si>
  <si>
    <t>Malawi</t>
  </si>
  <si>
    <t>Moz</t>
  </si>
  <si>
    <t>Nigeria</t>
  </si>
  <si>
    <t>SA</t>
  </si>
  <si>
    <t>Uganda</t>
  </si>
  <si>
    <t>Tanzania</t>
  </si>
  <si>
    <t>Zambia</t>
  </si>
  <si>
    <t>Zim</t>
  </si>
  <si>
    <t>Original Mortality</t>
  </si>
  <si>
    <t>Adapted with Claude (final version before playing)</t>
  </si>
  <si>
    <t>Proprtional Claude (1.2 moz)</t>
  </si>
  <si>
    <t>Manual trying</t>
  </si>
  <si>
    <t>Thembis mid point (ish) for 19+ months on art (between males and females) weighted by inital cd4</t>
  </si>
  <si>
    <t>mortality_ahd</t>
  </si>
  <si>
    <t>MORTALITY_RATES$ahd</t>
  </si>
  <si>
    <t>Thembisa taken as after 6 months on treatment with low cd4 (originally 0.05)</t>
  </si>
  <si>
    <t>Thembisa Model 4.3 Assumptions- cd4&lt;200 first 6 months treatment and spectrum update avg untreated mortality 100-200</t>
  </si>
  <si>
    <t>Avregae &lt;200 mortality 7+ months on ART</t>
  </si>
  <si>
    <t>NHLS South Africa analsysis https://sajhivmed.org.za/index.php/hivmed/article/view/1651/3437#T0001_1651</t>
  </si>
  <si>
    <t>variable</t>
  </si>
  <si>
    <t>data_source</t>
  </si>
  <si>
    <t>literature_reference</t>
  </si>
  <si>
    <t>general/country (can someone check if they agree)</t>
  </si>
  <si>
    <t>hiv_mortality_suppressed</t>
  </si>
  <si>
    <t>PLACEHOLDER</t>
  </si>
  <si>
    <t>general</t>
  </si>
  <si>
    <t>HIV related mortality while indiviudal on treatment and virally suppressed</t>
  </si>
  <si>
    <t>hiv_mortality_on_treatment</t>
  </si>
  <si>
    <t>HIV related mortality while on tretament but not virally suppressed</t>
  </si>
  <si>
    <t>hiv_mortality_no_treatment</t>
  </si>
  <si>
    <t>HIV related mortality while on tretament not on treatment</t>
  </si>
  <si>
    <t>prevalence_multiplier_hiv_births</t>
  </si>
  <si>
    <t>Found in app, relate dto HIV births - births*prevalence*multiplier?</t>
  </si>
  <si>
    <t>sexual_activity_rate</t>
  </si>
  <si>
    <t>Proprtion of population sexually active</t>
  </si>
  <si>
    <t>art_stable_diff</t>
  </si>
  <si>
    <t>Assume same as suppressed</t>
  </si>
  <si>
    <t>country</t>
  </si>
  <si>
    <t>Assume zero difference between stable on ART and suppressed?Provided as whole number (e.g 10 not 0.1 for 10%)</t>
  </si>
  <si>
    <t>art_failure_rate</t>
  </si>
  <si>
    <t>Proportion of indiviudals on ART who are suspected failure</t>
  </si>
  <si>
    <t>ltfu_rate</t>
  </si>
  <si>
    <t>rate of LTFU</t>
  </si>
  <si>
    <t>high_risk_proprtion</t>
  </si>
  <si>
    <t>Proprtion of HIV-negative proprtion who are high-risk of HIV infection</t>
  </si>
  <si>
    <t>circumcision_rate</t>
  </si>
  <si>
    <t>To determine proprtion of males uncircumcised</t>
  </si>
  <si>
    <t>recent_exposure</t>
  </si>
  <si>
    <t>Assumption around percentage of population with a recent exposure</t>
  </si>
  <si>
    <t>ahd_prop</t>
  </si>
  <si>
    <t>NHLS South Africa analsysis</t>
  </si>
  <si>
    <t>https://sajhivmed.org.za/index.php/hivmed/article/view/1651/3437#T0001_1651</t>
  </si>
  <si>
    <t>Percentage newly diagnosed who have AHD</t>
  </si>
  <si>
    <t>Based on South Africa CD4 levels</t>
  </si>
  <si>
    <t>base_viral_suppression</t>
  </si>
  <si>
    <t>Percentage of current suppression rates assumed at baseline (i.e assuming no addition intervention affectib=ng viral suppression)</t>
  </si>
  <si>
    <t>base_test_prop</t>
  </si>
  <si>
    <t>Max proprtion of those undiagnosed and LTFU that we have the potential to reach with testing</t>
  </si>
  <si>
    <t>base_test_yield</t>
  </si>
  <si>
    <t>Average test positivity</t>
  </si>
  <si>
    <t>max_test_yield</t>
  </si>
  <si>
    <t>Cap on maximum yield we could expect from testing</t>
  </si>
  <si>
    <t>re_test_prop</t>
  </si>
  <si>
    <t>Percentage of positive tests which are re_engagement as opposed to new diagnsoes</t>
  </si>
  <si>
    <t>average_testing_linkage</t>
  </si>
  <si>
    <t>Average linkage rate for tetsing - need to set the minimum value for ART initiations in the case of no testing or very reduced testing</t>
  </si>
  <si>
    <t>MTCT rate without intervention</t>
  </si>
  <si>
    <t>Mother-to-child transmission rate without intervention (15% is with breastfeeding)</t>
  </si>
  <si>
    <t>MTCT additional reduction (PMTCT)</t>
  </si>
  <si>
    <t>Additional MTCT reduction from enhanced PMTCT interventions beyond baseline</t>
  </si>
  <si>
    <t>ART provision cost</t>
  </si>
  <si>
    <t>Annual cost per person on ART (ARVs + service delivery)</t>
  </si>
  <si>
    <t>Code_Location</t>
  </si>
  <si>
    <t>Line 36</t>
  </si>
  <si>
    <t>Annual cost per person on oral PrEP (includes drug + monitoring)</t>
  </si>
  <si>
    <t>Line 38</t>
  </si>
  <si>
    <t>Line 44</t>
  </si>
  <si>
    <t>Line 46</t>
  </si>
  <si>
    <t>Line 52</t>
  </si>
  <si>
    <t>Line 54</t>
  </si>
  <si>
    <t>Line 61</t>
  </si>
  <si>
    <t>Line 63</t>
  </si>
  <si>
    <t>Line 69</t>
  </si>
  <si>
    <t>Line 71</t>
  </si>
  <si>
    <t>Line 78</t>
  </si>
  <si>
    <t>Line 80</t>
  </si>
  <si>
    <t>Mortality reduction from cotrimoxazole prophylaxis in PLHIV</t>
  </si>
  <si>
    <t>Line 86</t>
  </si>
  <si>
    <t>Line 88</t>
  </si>
  <si>
    <t>Facility-based testing</t>
  </si>
  <si>
    <t>test_facility</t>
  </si>
  <si>
    <t>Line 100</t>
  </si>
  <si>
    <t>Line 102</t>
  </si>
  <si>
    <t>Line 103</t>
  </si>
  <si>
    <t>Line 104</t>
  </si>
  <si>
    <t>Line 110</t>
  </si>
  <si>
    <t>Line 112</t>
  </si>
  <si>
    <t>Line 113</t>
  </si>
  <si>
    <t>Line 114</t>
  </si>
  <si>
    <t>Line 120</t>
  </si>
  <si>
    <t>Line 122</t>
  </si>
  <si>
    <t>Line 123</t>
  </si>
  <si>
    <t>Line 124</t>
  </si>
  <si>
    <t>yield_multiplier</t>
  </si>
  <si>
    <t>Higher testing yield in key populations vs general population</t>
  </si>
  <si>
    <t>Line 125</t>
  </si>
  <si>
    <t>Line 131</t>
  </si>
  <si>
    <t>Cost per self-test kit</t>
  </si>
  <si>
    <t>Line 133</t>
  </si>
  <si>
    <t>Line 134</t>
  </si>
  <si>
    <t>Line 135</t>
  </si>
  <si>
    <t>Line 141</t>
  </si>
  <si>
    <t>Line 143</t>
  </si>
  <si>
    <t>Line 144</t>
  </si>
  <si>
    <t>Line 145</t>
  </si>
  <si>
    <t>Line 151</t>
  </si>
  <si>
    <t>Line 153</t>
  </si>
  <si>
    <t>Line 154</t>
  </si>
  <si>
    <t>Line 155</t>
  </si>
  <si>
    <t>Test sensitivity in ANC settings</t>
  </si>
  <si>
    <t>Line 161</t>
  </si>
  <si>
    <t>Line 163</t>
  </si>
  <si>
    <t>Line 164</t>
  </si>
  <si>
    <t>Line 165</t>
  </si>
  <si>
    <t>Viral suppression improvement from routine monitoring</t>
  </si>
  <si>
    <t>Line 177</t>
  </si>
  <si>
    <t>Cost per VL test</t>
  </si>
  <si>
    <t>Line 179</t>
  </si>
  <si>
    <t>VL suspected failure</t>
  </si>
  <si>
    <t>vl_monitoring_targeted</t>
  </si>
  <si>
    <t>VL suppression improvement with targeted monitoring</t>
  </si>
  <si>
    <t>Line 185</t>
  </si>
  <si>
    <t>Cost per test + followup counseling</t>
  </si>
  <si>
    <t>Line 187</t>
  </si>
  <si>
    <t>OI screening &amp; management</t>
  </si>
  <si>
    <t>oi_management</t>
  </si>
  <si>
    <t>Mortality reduction from OI screening/treatment</t>
  </si>
  <si>
    <t>Line 193</t>
  </si>
  <si>
    <t>Cost per person screened and treated</t>
  </si>
  <si>
    <t>Line 195</t>
  </si>
  <si>
    <t>Retention improvement vs monthly dispensing</t>
  </si>
  <si>
    <t>Line 201</t>
  </si>
  <si>
    <t>Additional cost compared to monthly</t>
  </si>
  <si>
    <t>Line 203</t>
  </si>
  <si>
    <t>Line 209</t>
  </si>
  <si>
    <t>Line 211</t>
  </si>
  <si>
    <t>Line 217</t>
  </si>
  <si>
    <t>Line 219</t>
  </si>
  <si>
    <t>Line 231</t>
  </si>
  <si>
    <t>Cost per person receiving counseling support</t>
  </si>
  <si>
    <t>Line 233</t>
  </si>
  <si>
    <t>Line 239</t>
  </si>
  <si>
    <t>Line 241</t>
  </si>
  <si>
    <t>Line 247</t>
  </si>
  <si>
    <t>Line 249</t>
  </si>
  <si>
    <t>Line 260</t>
  </si>
  <si>
    <t>Line 266</t>
  </si>
  <si>
    <t>proportion_advanced</t>
  </si>
  <si>
    <t>Proportion of new ART initiations with CD4&lt;200</t>
  </si>
  <si>
    <t>Line 268</t>
  </si>
  <si>
    <t>Line 269</t>
  </si>
  <si>
    <t>Population</t>
  </si>
  <si>
    <t>Diagnosis rate</t>
  </si>
  <si>
    <t>assumption</t>
  </si>
  <si>
    <t>Proportion of PLHIV who are diagnosed (90-90-90 target = 0.90)</t>
  </si>
  <si>
    <t>Line 499</t>
  </si>
  <si>
    <t>Birth rate</t>
  </si>
  <si>
    <t>Annual birth rate (births per capita)</t>
  </si>
  <si>
    <t>Line 503</t>
  </si>
  <si>
    <t>HIV prevalence in pregnancy</t>
  </si>
  <si>
    <t>multiplier</t>
  </si>
  <si>
    <t>HIV prevalence multiplier among pregnant women vs general population</t>
  </si>
  <si>
    <t>Line 504</t>
  </si>
  <si>
    <t>Stable on ART</t>
  </si>
  <si>
    <t>Proportion of people on ART who are stable (eligible for MMD)</t>
  </si>
  <si>
    <t>Line 511</t>
  </si>
  <si>
    <t>Treatment failure rate</t>
  </si>
  <si>
    <t>Proportion on ART with suspected treatment failure</t>
  </si>
  <si>
    <t>Line 512</t>
  </si>
  <si>
    <t>LTFU rate</t>
  </si>
  <si>
    <t>Loss to follow-up rate among on ART</t>
  </si>
  <si>
    <t>Line 515</t>
  </si>
  <si>
    <t>High-risk proportion</t>
  </si>
  <si>
    <t>Proportion of HIV-negative population at high risk (eligible for PrEP)</t>
  </si>
  <si>
    <t>Line 516</t>
  </si>
  <si>
    <t>Uncircumcised males</t>
  </si>
  <si>
    <t>Proportion of males who are uncircumcised (regional variation)</t>
  </si>
  <si>
    <t>Line 517</t>
  </si>
  <si>
    <t>Sexually active</t>
  </si>
  <si>
    <t>Proportion of total population sexually active</t>
  </si>
  <si>
    <t>Line 502</t>
  </si>
  <si>
    <t>Recent exposure (PEP need)</t>
  </si>
  <si>
    <t>Proportion with recent high-risk exposure needing PEP</t>
  </si>
  <si>
    <t>Line 519</t>
  </si>
  <si>
    <t>Advanced disease at diagnosis</t>
  </si>
  <si>
    <t>Proportion of newly diagnosed with advanced HIV disease (CD4&lt;200) - DUPLICATED with AHD package proportion</t>
  </si>
  <si>
    <t>Line 522</t>
  </si>
  <si>
    <t>Testing yield - proportion new diagnoses</t>
  </si>
  <si>
    <t>Among positive HIV tests: proportion that are NEW diagnoses (vs re-engagement)</t>
  </si>
  <si>
    <t>Line 627-628</t>
  </si>
  <si>
    <t>Testing yield - proportion re-engagement</t>
  </si>
  <si>
    <t>Among positive HIV tests: proportion that are people re-engaging in care</t>
  </si>
  <si>
    <t>Line 629-630</t>
  </si>
  <si>
    <t>Outcome</t>
  </si>
  <si>
    <t>rate</t>
  </si>
  <si>
    <t>Line 680 and 708</t>
  </si>
  <si>
    <t>Line 755</t>
  </si>
  <si>
    <t>Line 761</t>
  </si>
  <si>
    <t>Transmission</t>
  </si>
  <si>
    <t>Transmission rate calculation</t>
  </si>
  <si>
    <t>derived</t>
  </si>
  <si>
    <t>Calculated</t>
  </si>
  <si>
    <t>Model-derived</t>
  </si>
  <si>
    <t>VALIDATION NEEDED</t>
  </si>
  <si>
    <t>Transmission rate = Baseline new infections / (Undiagnosed + Unsuppressed). This should be validated against literature on per-partner transmission probabilities.</t>
  </si>
  <si>
    <t>Line 719-722</t>
  </si>
  <si>
    <t>Infectious population definition</t>
  </si>
  <si>
    <t>Undiagnosed + Unsuppressed</t>
  </si>
  <si>
    <t>Model assumption</t>
  </si>
  <si>
    <t>Model assumes infectious population = undiagnosed + unsuppressed. Could refine with viral load strata.</t>
  </si>
  <si>
    <t>Line 716-717</t>
  </si>
  <si>
    <t>Prevention impact on transmission</t>
  </si>
  <si>
    <t>model logic</t>
  </si>
  <si>
    <t>Subtractive</t>
  </si>
  <si>
    <t>Direct prevention (PrEP/VMMC/condoms) reduces infections additively with TasP. May overestimate if there's overlap.</t>
  </si>
  <si>
    <t>Line 725-726</t>
  </si>
  <si>
    <t>Regional</t>
  </si>
  <si>
    <t>Eastern Africa - Prevalence</t>
  </si>
  <si>
    <t>context</t>
  </si>
  <si>
    <t>HIV prevalence in Eastern Africa high-burden countries</t>
  </si>
  <si>
    <t>Line 282</t>
  </si>
  <si>
    <t>Eastern Africa - Incidence</t>
  </si>
  <si>
    <t>Annual new infections (for population of 5M)</t>
  </si>
  <si>
    <t>Line 283</t>
  </si>
  <si>
    <t>Eastern Africa - ART coverage</t>
  </si>
  <si>
    <t>Percent of diagnosed PLHIV on ART</t>
  </si>
  <si>
    <t>Line 285</t>
  </si>
  <si>
    <t>Southern Africa - Prevalence</t>
  </si>
  <si>
    <t>HIV prevalence in Southern Africa highest-burden countries</t>
  </si>
  <si>
    <t>Line 297</t>
  </si>
  <si>
    <t>West Africa - Prevalence</t>
  </si>
  <si>
    <t>HIV prevalence in West/Central Africa</t>
  </si>
  <si>
    <t>Line 312</t>
  </si>
  <si>
    <t>Validation</t>
  </si>
  <si>
    <t>Testing yield cap</t>
  </si>
  <si>
    <t>safety_limit</t>
  </si>
  <si>
    <t>Model constraint</t>
  </si>
  <si>
    <t>REVIEW NEEDED</t>
  </si>
  <si>
    <t>Testing yield capped at 10% for plausibility - is this appropriate?</t>
  </si>
  <si>
    <t>Line 597</t>
  </si>
  <si>
    <t>New infections floor</t>
  </si>
  <si>
    <t>New infections cannot go below zero - appropriate but may hide over-optimistic scenarios</t>
  </si>
  <si>
    <t>Line 727</t>
  </si>
  <si>
    <t>Infant infections floor</t>
  </si>
  <si>
    <t>Infant infections cannot go below zero</t>
  </si>
  <si>
    <t>Line 732</t>
  </si>
  <si>
    <t>Deaths floor</t>
  </si>
  <si>
    <t>Deaths cannot go below zero</t>
  </si>
  <si>
    <t>Line 735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</si>
</sst>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ptos Narrow"/>
      <family val="2"/>
      <scheme val="minor"/>
    </font>
    <font>
      <u/>
      <sz val="12"/>
      <color theme="10"/>
      <name val="Aptos Narrow"/>
      <family val="2"/>
      <scheme val="minor"/>
    </font>
    <font>
      <b/>
      <sz val="11"/>
      <color rgb="FFFFFFFF"/>
      <name val="Arial"/>
      <family val="2"/>
    </font>
    <font>
      <sz val="10"/>
      <name val="Arial"/>
      <family val="2"/>
    </font>
    <font>
      <sz val="10"/>
      <color rgb="FF0000FF"/>
      <name val="Arial"/>
      <family val="2"/>
    </font>
    <font>
      <sz val="12"/>
      <color theme="10"/>
      <name val="Aptos Narrow"/>
      <family val="2"/>
      <scheme val="minor"/>
    </font>
    <font>
      <sz val="12"/>
      <color theme="0"/>
      <name val="Aptos Narrow"/>
      <family val="2"/>
      <scheme val="minor"/>
    </font>
    <font>
      <sz val="12"/>
      <color rgb="FF000000"/>
      <name val="Aptos Narrow"/>
    </font>
    <font>
      <b/>
      <sz val="12"/>
      <color rgb="FF000000"/>
      <name val="Aptos Narrow"/>
    </font>
    <font>
      <sz val="12"/>
      <color rgb="FF000000"/>
      <name val="Aptos Narrow"/>
      <family val="2"/>
    </font>
    <font>
      <sz val="12"/>
      <color rgb="FF000000"/>
      <name val="Aptos Narrow"/>
      <scheme val="minor"/>
    </font>
    <font>
      <b/>
      <sz val="12"/>
      <color theme="1"/>
      <name val="Aptos Narrow"/>
      <family val="2"/>
      <scheme val="minor"/>
    </font>
    <font>
      <sz val="11"/>
      <color rgb="FF0000FF"/>
      <name val="Arial"/>
      <family val="2"/>
    </font>
    <font>
      <sz val="11"/>
      <color rgb="FF242424"/>
      <name val="Aptos Narrow"/>
      <scheme val="minor"/>
    </font>
    <font>
      <sz val="11"/>
      <color rgb="FF000000"/>
      <name val="Aptos Narrow"/>
      <scheme val="minor"/>
    </font>
    <font>
      <sz val="11"/>
      <color theme="1"/>
      <name val="Aptos Narrow"/>
      <scheme val="minor"/>
    </font>
    <font>
      <u/>
      <sz val="11"/>
      <color theme="10"/>
      <name val="Aptos Narrow"/>
      <scheme val="minor"/>
    </font>
    <font>
      <sz val="11"/>
      <color rgb="FF222222"/>
      <name val="Aptos Narrow"/>
      <scheme val="minor"/>
    </font>
    <font>
      <sz val="11"/>
      <color rgb="FF1B1B1B"/>
      <name val="Aptos Narrow"/>
      <scheme val="minor"/>
    </font>
    <font>
      <u/>
      <sz val="11"/>
      <color theme="10"/>
      <name val="Aptos Narrow"/>
      <family val="2"/>
      <scheme val="minor"/>
    </font>
    <font>
      <sz val="11"/>
      <color rgb="FF1B1B1B"/>
      <name val="Aptos Display"/>
      <scheme val="major"/>
    </font>
    <font>
      <sz val="10"/>
      <color rgb="FF0000FF"/>
      <name val="Arial"/>
    </font>
    <font>
      <sz val="11"/>
      <color rgb="FF242424"/>
      <name val="Aptos Narrow"/>
      <charset val="1"/>
    </font>
    <font>
      <sz val="11"/>
      <color theme="1"/>
      <name val="Aptos Narrow"/>
      <family val="2"/>
      <scheme val="minor"/>
    </font>
    <font>
      <i/>
      <sz val="12"/>
      <color theme="1"/>
      <name val="Aptos Narrow"/>
      <family val="2"/>
      <scheme val="minor"/>
    </font>
  </fonts>
  <fills count="1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1F4E78"/>
        <bgColor rgb="FF000000"/>
      </patternFill>
    </fill>
    <fill>
      <patternFill patternType="solid">
        <fgColor theme="6" tint="0.79998168889431442"/>
        <bgColor indexed="64"/>
      </patternFill>
    </fill>
    <fill>
      <patternFill patternType="solid">
        <fgColor rgb="FF1F4E78"/>
        <bgColor indexed="64"/>
      </patternFill>
    </fill>
    <fill>
      <patternFill patternType="solid">
        <fgColor rgb="FFDAF2D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BDDC"/>
        <bgColor indexed="64"/>
      </patternFill>
    </fill>
    <fill>
      <patternFill patternType="solid">
        <fgColor rgb="FFFFFFFF"/>
        <bgColor rgb="FF000000"/>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59999389629810485"/>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style="thin">
        <color rgb="FFBFBFBF"/>
      </left>
      <right/>
      <top style="thin">
        <color rgb="FFBFBFBF"/>
      </top>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style="thin">
        <color rgb="FFBFBFBF"/>
      </left>
      <right/>
      <top/>
      <bottom style="thin">
        <color rgb="FFBFBFBF"/>
      </bottom>
      <diagonal/>
    </border>
  </borders>
  <cellStyleXfs count="2">
    <xf numFmtId="0" fontId="0" fillId="0" borderId="0"/>
    <xf numFmtId="0" fontId="1" fillId="0" borderId="0" applyNumberFormat="0" applyFill="0" applyBorder="0" applyAlignment="0" applyProtection="0"/>
  </cellStyleXfs>
  <cellXfs count="84">
    <xf numFmtId="0" fontId="0" fillId="0" borderId="0" xfId="0"/>
    <xf numFmtId="0" fontId="0" fillId="2" borderId="0" xfId="0" applyFill="1"/>
    <xf numFmtId="0" fontId="0" fillId="3" borderId="0" xfId="0" applyFill="1"/>
    <xf numFmtId="0" fontId="0" fillId="4" borderId="0" xfId="0" applyFill="1"/>
    <xf numFmtId="0" fontId="4" fillId="0" borderId="4" xfId="0" applyFont="1" applyBorder="1"/>
    <xf numFmtId="0" fontId="3" fillId="8" borderId="4" xfId="0" applyFont="1" applyFill="1" applyBorder="1" applyAlignment="1">
      <alignment wrapText="1"/>
    </xf>
    <xf numFmtId="0" fontId="5" fillId="8" borderId="0" xfId="1" applyFont="1" applyFill="1" applyAlignment="1">
      <alignment wrapText="1"/>
    </xf>
    <xf numFmtId="0" fontId="2" fillId="7" borderId="1" xfId="0" applyFont="1" applyFill="1" applyBorder="1"/>
    <xf numFmtId="0" fontId="2" fillId="7" borderId="2" xfId="0" applyFont="1" applyFill="1" applyBorder="1"/>
    <xf numFmtId="0" fontId="3" fillId="0" borderId="3" xfId="0" applyFont="1" applyBorder="1" applyAlignment="1">
      <alignment wrapText="1"/>
    </xf>
    <xf numFmtId="0" fontId="3" fillId="0" borderId="4" xfId="0" applyFont="1" applyBorder="1" applyAlignment="1">
      <alignment wrapText="1"/>
    </xf>
    <xf numFmtId="0" fontId="0" fillId="5" borderId="0" xfId="0" applyFill="1" applyAlignment="1">
      <alignment wrapText="1"/>
    </xf>
    <xf numFmtId="0" fontId="0" fillId="5" borderId="0" xfId="0" applyFill="1"/>
    <xf numFmtId="0" fontId="1" fillId="5" borderId="0" xfId="1" applyFill="1" applyAlignment="1">
      <alignment wrapText="1"/>
    </xf>
    <xf numFmtId="0" fontId="0" fillId="11" borderId="0" xfId="0" applyFill="1" applyAlignment="1">
      <alignment wrapText="1"/>
    </xf>
    <xf numFmtId="0" fontId="6" fillId="9" borderId="0" xfId="0" applyFont="1" applyFill="1" applyAlignment="1">
      <alignment wrapText="1"/>
    </xf>
    <xf numFmtId="0" fontId="1" fillId="11" borderId="0" xfId="1" applyFill="1" applyAlignment="1">
      <alignment wrapText="1"/>
    </xf>
    <xf numFmtId="0" fontId="1" fillId="10" borderId="0" xfId="1" applyFill="1" applyAlignment="1">
      <alignment wrapText="1"/>
    </xf>
    <xf numFmtId="0" fontId="0" fillId="10" borderId="0" xfId="0" applyFill="1" applyAlignment="1">
      <alignment wrapText="1"/>
    </xf>
    <xf numFmtId="0" fontId="0" fillId="0" borderId="0" xfId="0" applyAlignment="1">
      <alignment wrapText="1"/>
    </xf>
    <xf numFmtId="0" fontId="1" fillId="12" borderId="0" xfId="1" applyFill="1" applyAlignment="1">
      <alignment wrapText="1"/>
    </xf>
    <xf numFmtId="0" fontId="0" fillId="12" borderId="0" xfId="0" applyFill="1" applyAlignment="1">
      <alignment wrapText="1"/>
    </xf>
    <xf numFmtId="0" fontId="4" fillId="12" borderId="4" xfId="0" applyFont="1" applyFill="1" applyBorder="1"/>
    <xf numFmtId="0" fontId="7" fillId="12" borderId="0" xfId="0" applyFont="1" applyFill="1" applyAlignment="1">
      <alignment wrapText="1"/>
    </xf>
    <xf numFmtId="0" fontId="0" fillId="8" borderId="0" xfId="0" applyFill="1" applyAlignment="1">
      <alignment wrapText="1"/>
    </xf>
    <xf numFmtId="0" fontId="9" fillId="0" borderId="0" xfId="0" applyFont="1" applyAlignment="1">
      <alignment wrapText="1"/>
    </xf>
    <xf numFmtId="0" fontId="10" fillId="12" borderId="0" xfId="0" applyFont="1" applyFill="1" applyAlignment="1">
      <alignment wrapText="1"/>
    </xf>
    <xf numFmtId="0" fontId="7" fillId="12" borderId="0" xfId="0" applyFont="1" applyFill="1"/>
    <xf numFmtId="0" fontId="0" fillId="12" borderId="0" xfId="0" applyFill="1"/>
    <xf numFmtId="0" fontId="11" fillId="8" borderId="0" xfId="0" applyFont="1" applyFill="1" applyAlignment="1">
      <alignment wrapText="1"/>
    </xf>
    <xf numFmtId="0" fontId="12" fillId="0" borderId="4" xfId="0" applyFont="1" applyBorder="1"/>
    <xf numFmtId="0" fontId="9" fillId="0" borderId="0" xfId="0" applyFont="1"/>
    <xf numFmtId="0" fontId="14" fillId="0" borderId="0" xfId="0" applyFont="1" applyAlignment="1">
      <alignment vertical="top" wrapText="1"/>
    </xf>
    <xf numFmtId="0" fontId="14" fillId="6" borderId="0" xfId="0" applyFont="1" applyFill="1" applyAlignment="1">
      <alignment vertical="top" wrapText="1"/>
    </xf>
    <xf numFmtId="0" fontId="17" fillId="6" borderId="0" xfId="0" applyFont="1" applyFill="1" applyAlignment="1">
      <alignment vertical="top" wrapText="1"/>
    </xf>
    <xf numFmtId="0" fontId="14" fillId="4" borderId="0" xfId="0" applyFont="1" applyFill="1" applyAlignment="1">
      <alignment vertical="top" wrapText="1"/>
    </xf>
    <xf numFmtId="0" fontId="18" fillId="10" borderId="0" xfId="0" applyFont="1" applyFill="1" applyAlignment="1">
      <alignment vertical="top" wrapText="1"/>
    </xf>
    <xf numFmtId="0" fontId="14" fillId="3" borderId="0" xfId="0" applyFont="1" applyFill="1" applyAlignment="1">
      <alignment vertical="top" wrapText="1"/>
    </xf>
    <xf numFmtId="0" fontId="14" fillId="5" borderId="0" xfId="0" applyFont="1" applyFill="1" applyAlignment="1">
      <alignment vertical="top" wrapText="1"/>
    </xf>
    <xf numFmtId="0" fontId="16" fillId="6" borderId="0" xfId="1" applyFont="1" applyFill="1" applyAlignment="1">
      <alignment vertical="top" wrapText="1"/>
    </xf>
    <xf numFmtId="0" fontId="15" fillId="0" borderId="0" xfId="0" applyFont="1" applyAlignment="1">
      <alignment vertical="top" wrapText="1"/>
    </xf>
    <xf numFmtId="0" fontId="15" fillId="6" borderId="0" xfId="0" applyFont="1" applyFill="1" applyAlignment="1">
      <alignment vertical="top" wrapText="1"/>
    </xf>
    <xf numFmtId="0" fontId="16" fillId="0" borderId="0" xfId="1" applyFont="1" applyAlignment="1">
      <alignment vertical="top" wrapText="1"/>
    </xf>
    <xf numFmtId="0" fontId="15" fillId="10" borderId="0" xfId="0" applyFont="1" applyFill="1" applyAlignment="1">
      <alignment vertical="top" wrapText="1"/>
    </xf>
    <xf numFmtId="0" fontId="15" fillId="5" borderId="0" xfId="0" applyFont="1" applyFill="1" applyAlignment="1">
      <alignment vertical="top" wrapText="1"/>
    </xf>
    <xf numFmtId="0" fontId="15" fillId="4" borderId="0" xfId="0" applyFont="1" applyFill="1" applyAlignment="1">
      <alignment vertical="top" wrapText="1"/>
    </xf>
    <xf numFmtId="0" fontId="14" fillId="13" borderId="0" xfId="0" applyFont="1" applyFill="1" applyAlignment="1">
      <alignment vertical="top" wrapText="1"/>
    </xf>
    <xf numFmtId="0" fontId="15" fillId="12" borderId="0" xfId="0" applyFont="1" applyFill="1" applyAlignment="1">
      <alignment vertical="top" wrapText="1"/>
    </xf>
    <xf numFmtId="0" fontId="1" fillId="0" borderId="0" xfId="1" applyAlignment="1">
      <alignment vertical="top" wrapText="1"/>
    </xf>
    <xf numFmtId="0" fontId="19" fillId="0" borderId="0" xfId="1" applyFont="1" applyAlignment="1">
      <alignment vertical="top" wrapText="1"/>
    </xf>
    <xf numFmtId="0" fontId="1" fillId="0" borderId="0" xfId="1" applyFill="1" applyAlignment="1">
      <alignment vertical="top" wrapText="1"/>
    </xf>
    <xf numFmtId="0" fontId="14" fillId="10" borderId="0" xfId="0" applyFont="1" applyFill="1" applyAlignment="1">
      <alignment vertical="top" wrapText="1"/>
    </xf>
    <xf numFmtId="0" fontId="20" fillId="10" borderId="0" xfId="0" applyFont="1" applyFill="1" applyAlignment="1">
      <alignment vertical="top" wrapText="1"/>
    </xf>
    <xf numFmtId="0" fontId="14" fillId="5" borderId="0" xfId="1" applyFont="1" applyFill="1" applyAlignment="1">
      <alignment vertical="top" wrapText="1"/>
    </xf>
    <xf numFmtId="0" fontId="14" fillId="6" borderId="0" xfId="1" applyFont="1" applyFill="1" applyAlignment="1">
      <alignment vertical="top" wrapText="1"/>
    </xf>
    <xf numFmtId="0" fontId="13" fillId="5" borderId="0" xfId="0" applyFont="1" applyFill="1" applyAlignment="1">
      <alignment vertical="top" wrapText="1"/>
    </xf>
    <xf numFmtId="0" fontId="21" fillId="12" borderId="4" xfId="0" applyFont="1" applyFill="1" applyBorder="1"/>
    <xf numFmtId="0" fontId="21" fillId="0" borderId="4" xfId="0" applyFont="1" applyBorder="1"/>
    <xf numFmtId="0" fontId="1" fillId="10" borderId="0" xfId="1" applyFill="1" applyAlignment="1">
      <alignment vertical="top" wrapText="1"/>
    </xf>
    <xf numFmtId="0" fontId="22" fillId="0" borderId="0" xfId="0" applyFont="1"/>
    <xf numFmtId="0" fontId="1" fillId="5" borderId="0" xfId="1" applyFill="1" applyAlignment="1">
      <alignment vertical="top" wrapText="1"/>
    </xf>
    <xf numFmtId="0" fontId="1" fillId="6" borderId="0" xfId="1" applyFill="1" applyAlignment="1">
      <alignment vertical="top" wrapText="1"/>
    </xf>
    <xf numFmtId="0" fontId="1" fillId="0" borderId="0" xfId="1"/>
    <xf numFmtId="9" fontId="0" fillId="0" borderId="0" xfId="0" applyNumberFormat="1"/>
    <xf numFmtId="0" fontId="23" fillId="0" borderId="0" xfId="0" applyFont="1" applyAlignment="1">
      <alignment vertical="top" wrapText="1"/>
    </xf>
    <xf numFmtId="0" fontId="24" fillId="0" borderId="0" xfId="0" applyFont="1"/>
    <xf numFmtId="0" fontId="15" fillId="16" borderId="0" xfId="0" applyFont="1" applyFill="1" applyAlignment="1">
      <alignment vertical="top" wrapText="1"/>
    </xf>
    <xf numFmtId="0" fontId="14" fillId="16" borderId="0" xfId="0" applyFont="1" applyFill="1" applyAlignment="1">
      <alignment vertical="top" wrapText="1"/>
    </xf>
    <xf numFmtId="0" fontId="19" fillId="16" borderId="0" xfId="1" applyFont="1" applyFill="1" applyAlignment="1">
      <alignment vertical="top" wrapText="1"/>
    </xf>
    <xf numFmtId="0" fontId="15" fillId="17" borderId="0" xfId="0" applyFont="1" applyFill="1" applyAlignment="1">
      <alignment vertical="top" wrapText="1"/>
    </xf>
    <xf numFmtId="0" fontId="14" fillId="17" borderId="0" xfId="0" applyFont="1" applyFill="1" applyAlignment="1">
      <alignment vertical="top" wrapText="1"/>
    </xf>
    <xf numFmtId="0" fontId="19" fillId="17" borderId="0" xfId="1" applyFont="1" applyFill="1" applyAlignment="1">
      <alignment vertical="top" wrapText="1"/>
    </xf>
    <xf numFmtId="0" fontId="14" fillId="2" borderId="0" xfId="0" applyFont="1" applyFill="1" applyAlignment="1">
      <alignment horizontal="center" vertical="top" wrapText="1"/>
    </xf>
    <xf numFmtId="0" fontId="1" fillId="12" borderId="5" xfId="1" applyFill="1" applyBorder="1" applyAlignment="1">
      <alignment horizontal="center" wrapText="1"/>
    </xf>
    <xf numFmtId="0" fontId="1" fillId="12" borderId="6" xfId="1" applyFill="1" applyBorder="1" applyAlignment="1">
      <alignment horizontal="center" wrapText="1"/>
    </xf>
    <xf numFmtId="0" fontId="1" fillId="14" borderId="7" xfId="1" applyFill="1" applyBorder="1" applyAlignment="1">
      <alignment horizontal="center" wrapText="1"/>
    </xf>
    <xf numFmtId="0" fontId="1" fillId="11" borderId="6" xfId="1" applyFill="1" applyBorder="1" applyAlignment="1">
      <alignment horizontal="center" wrapText="1"/>
    </xf>
    <xf numFmtId="0" fontId="1" fillId="8" borderId="5" xfId="1" applyFill="1" applyBorder="1" applyAlignment="1">
      <alignment horizontal="center" wrapText="1"/>
    </xf>
    <xf numFmtId="0" fontId="1" fillId="8" borderId="6" xfId="1" applyFill="1" applyBorder="1" applyAlignment="1">
      <alignment horizontal="center" wrapText="1"/>
    </xf>
    <xf numFmtId="0" fontId="1" fillId="8" borderId="8" xfId="1" applyFill="1" applyBorder="1" applyAlignment="1">
      <alignment horizontal="center" wrapText="1"/>
    </xf>
    <xf numFmtId="0" fontId="0" fillId="8" borderId="5" xfId="0" applyFill="1" applyBorder="1" applyAlignment="1">
      <alignment horizontal="center" wrapText="1"/>
    </xf>
    <xf numFmtId="0" fontId="0" fillId="8" borderId="6" xfId="0" applyFill="1" applyBorder="1" applyAlignment="1">
      <alignment horizontal="center" wrapText="1"/>
    </xf>
    <xf numFmtId="0" fontId="0" fillId="15" borderId="0" xfId="0" applyFill="1" applyAlignment="1">
      <alignment horizontal="center"/>
    </xf>
    <xf numFmtId="0" fontId="0" fillId="8" borderId="8" xfId="0"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colors>
    <mruColors>
      <color rgb="FFDAF2D0"/>
      <color rgb="FFFFBDDC"/>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76200</xdr:colOff>
      <xdr:row>0</xdr:row>
      <xdr:rowOff>95250</xdr:rowOff>
    </xdr:from>
    <xdr:to>
      <xdr:col>13</xdr:col>
      <xdr:colOff>533400</xdr:colOff>
      <xdr:row>9</xdr:row>
      <xdr:rowOff>95250</xdr:rowOff>
    </xdr:to>
    <xdr:pic>
      <xdr:nvPicPr>
        <xdr:cNvPr id="2" name="Picture 1">
          <a:extLst>
            <a:ext uri="{FF2B5EF4-FFF2-40B4-BE49-F238E27FC236}">
              <a16:creationId xmlns:a16="http://schemas.microsoft.com/office/drawing/2014/main" id="{83D16091-B2E3-C246-9E7B-BC45033DE19C}"/>
            </a:ext>
          </a:extLst>
        </xdr:cNvPr>
        <xdr:cNvPicPr>
          <a:picLocks noChangeAspect="1"/>
        </xdr:cNvPicPr>
      </xdr:nvPicPr>
      <xdr:blipFill>
        <a:blip xmlns:r="http://schemas.openxmlformats.org/officeDocument/2006/relationships" r:embed="rId1"/>
        <a:stretch>
          <a:fillRect/>
        </a:stretch>
      </xdr:blipFill>
      <xdr:spPr>
        <a:xfrm>
          <a:off x="7781925" y="95250"/>
          <a:ext cx="4572000" cy="31813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ris.who.int/server/api/core/bitstreams/938634d2-a35d-4dbf-be14-3e21c4d6a3e4/content" TargetMode="External"/><Relationship Id="rId21" Type="http://schemas.openxmlformats.org/officeDocument/2006/relationships/hyperlink" Target="https://pmc.ncbi.nlm.nih.gov/articles/PMC3387183/" TargetMode="External"/><Relationship Id="rId34" Type="http://schemas.openxmlformats.org/officeDocument/2006/relationships/hyperlink" Target="https://pubmed.ncbi.nlm.nih.gov/38365416/" TargetMode="External"/><Relationship Id="rId42" Type="http://schemas.openxmlformats.org/officeDocument/2006/relationships/hyperlink" Target="https://pmc.ncbi.nlm.nih.gov/articles/PMC12205209/" TargetMode="External"/><Relationship Id="rId47" Type="http://schemas.openxmlformats.org/officeDocument/2006/relationships/hyperlink" Target="https://pubmed.ncbi.nlm.nih.gov/39192180/" TargetMode="External"/><Relationship Id="rId50" Type="http://schemas.openxmlformats.org/officeDocument/2006/relationships/hyperlink" Target="https://pubmed.ncbi.nlm.nih.gov/27540110/" TargetMode="External"/><Relationship Id="rId55" Type="http://schemas.openxmlformats.org/officeDocument/2006/relationships/hyperlink" Target="https://pmc.ncbi.nlm.nih.gov/articles/PMC10881889/" TargetMode="External"/><Relationship Id="rId63" Type="http://schemas.openxmlformats.org/officeDocument/2006/relationships/hyperlink" Target="https://pubmed.ncbi.nlm.nih.gov/40441175/" TargetMode="External"/><Relationship Id="rId7" Type="http://schemas.openxmlformats.org/officeDocument/2006/relationships/hyperlink" Target="https://pmc.ncbi.nlm.nih.gov/articles/PMC11634545/" TargetMode="External"/><Relationship Id="rId2" Type="http://schemas.openxmlformats.org/officeDocument/2006/relationships/hyperlink" Target="https://onlinelibrary.wiley.com/doi/10.1002/jia2.70003" TargetMode="External"/><Relationship Id="rId16" Type="http://schemas.openxmlformats.org/officeDocument/2006/relationships/hyperlink" Target="https://pmc.ncbi.nlm.nih.gov/articles/PMC3387183/" TargetMode="External"/><Relationship Id="rId29" Type="http://schemas.openxmlformats.org/officeDocument/2006/relationships/hyperlink" Target="chrome-extension://efaidnbmnnnibpcajpcglclefindmkaj/https:/www.theglobalfund.org/media/2ffcrcra/psm_hivrdtreferencepricing_table_en.pdf" TargetMode="External"/><Relationship Id="rId11" Type="http://schemas.openxmlformats.org/officeDocument/2006/relationships/hyperlink" Target="https://onlinelibrary.wiley.com/doi/epdf/10.1002/jia2.25612" TargetMode="External"/><Relationship Id="rId24" Type="http://schemas.openxmlformats.org/officeDocument/2006/relationships/hyperlink" Target="https://aslm.org/academy/product/oraquick-hiv-self-test/" TargetMode="External"/><Relationship Id="rId32" Type="http://schemas.openxmlformats.org/officeDocument/2006/relationships/hyperlink" Target="https://pubmed.ncbi.nlm.nih.gov/37734807/" TargetMode="External"/><Relationship Id="rId37" Type="http://schemas.openxmlformats.org/officeDocument/2006/relationships/hyperlink" Target="https://pmc.ncbi.nlm.nih.gov/articles/PMC12205209/" TargetMode="External"/><Relationship Id="rId40" Type="http://schemas.openxmlformats.org/officeDocument/2006/relationships/hyperlink" Target="https://pmc.ncbi.nlm.nih.gov/articles/PMC12205209/" TargetMode="External"/><Relationship Id="rId45" Type="http://schemas.openxmlformats.org/officeDocument/2006/relationships/hyperlink" Target="https://www.thelancet.com/journals/langlo/article/PIIS2214-109X(19)30534-0/fulltext" TargetMode="External"/><Relationship Id="rId53" Type="http://schemas.openxmlformats.org/officeDocument/2006/relationships/hyperlink" Target="https://pmc.ncbi.nlm.nih.gov/articles/PMC10881889/" TargetMode="External"/><Relationship Id="rId58" Type="http://schemas.openxmlformats.org/officeDocument/2006/relationships/hyperlink" Target="https://journals.plos.org/plosmedicine/article?id=10.1371/journal.pmed.1004270" TargetMode="External"/><Relationship Id="rId5" Type="http://schemas.openxmlformats.org/officeDocument/2006/relationships/hyperlink" Target="https://thembisa.org/content/downloadPage/Thembisa4_8report" TargetMode="External"/><Relationship Id="rId61" Type="http://schemas.openxmlformats.org/officeDocument/2006/relationships/hyperlink" Target="https://pubmed.ncbi.nlm.nih.gov/40441175/" TargetMode="External"/><Relationship Id="rId19" Type="http://schemas.openxmlformats.org/officeDocument/2006/relationships/hyperlink" Target="https://www.nejm.org/doi/10.1056/NEJMoa1615822?url_ver=Z39.88-2003&amp;rfr_id=ori:rid:crossref.org&amp;rfr_dat=cr_pub%20%200www.ncbi.nlm.nih.gov" TargetMode="External"/><Relationship Id="rId14" Type="http://schemas.openxmlformats.org/officeDocument/2006/relationships/hyperlink" Target="https://pmc.ncbi.nlm.nih.gov/articles/PMC3387183/" TargetMode="External"/><Relationship Id="rId22" Type="http://schemas.openxmlformats.org/officeDocument/2006/relationships/hyperlink" Target="https://www.nejm.org/doi/10.1056/NEJM199711203372101?url_ver=Z39.88-2003&amp;rfr_id=ori:rid:crossref.org&amp;rfr_dat=cr_pub%20%200www.ncbi.nlm.nih.gov" TargetMode="External"/><Relationship Id="rId27" Type="http://schemas.openxmlformats.org/officeDocument/2006/relationships/hyperlink" Target="https://pmc.ncbi.nlm.nih.gov/articles/PMC12777189/" TargetMode="External"/><Relationship Id="rId30" Type="http://schemas.openxmlformats.org/officeDocument/2006/relationships/hyperlink" Target="https://pubmed.ncbi.nlm.nih.gov/40441175/" TargetMode="External"/><Relationship Id="rId35" Type="http://schemas.openxmlformats.org/officeDocument/2006/relationships/hyperlink" Target="https://pubmed.ncbi.nlm.nih.gov/38365416/" TargetMode="External"/><Relationship Id="rId43" Type="http://schemas.openxmlformats.org/officeDocument/2006/relationships/hyperlink" Target="https://pubmed.ncbi.nlm.nih.gov/27540110/" TargetMode="External"/><Relationship Id="rId48" Type="http://schemas.openxmlformats.org/officeDocument/2006/relationships/hyperlink" Target="https://pubmed.ncbi.nlm.nih.gov/39192180/" TargetMode="External"/><Relationship Id="rId56" Type="http://schemas.openxmlformats.org/officeDocument/2006/relationships/hyperlink" Target="http://dx.doi.org/10.1136/bmjgh-2021-005019" TargetMode="External"/><Relationship Id="rId64" Type="http://schemas.openxmlformats.org/officeDocument/2006/relationships/hyperlink" Target="https://pubmed.ncbi.nlm.nih.gov/40441175/" TargetMode="External"/><Relationship Id="rId8" Type="http://schemas.openxmlformats.org/officeDocument/2006/relationships/hyperlink" Target="https://onlinelibrary.wiley.com/doi/epdf/10.1002/jia2.25612" TargetMode="External"/><Relationship Id="rId51" Type="http://schemas.openxmlformats.org/officeDocument/2006/relationships/hyperlink" Target="https://pubmed.ncbi.nlm.nih.gov/27540110/" TargetMode="External"/><Relationship Id="rId3" Type="http://schemas.openxmlformats.org/officeDocument/2006/relationships/hyperlink" Target="https://onlinelibrary.wiley.com/doi/10.1002/jia2.70003" TargetMode="External"/><Relationship Id="rId12" Type="http://schemas.openxmlformats.org/officeDocument/2006/relationships/hyperlink" Target="https://onlinelibrary.wiley.com/doi/epdf/10.1002/jia2.25612" TargetMode="External"/><Relationship Id="rId17" Type="http://schemas.openxmlformats.org/officeDocument/2006/relationships/hyperlink" Target="https://pmc.ncbi.nlm.nih.gov/articles/PMC3387183/" TargetMode="External"/><Relationship Id="rId25" Type="http://schemas.openxmlformats.org/officeDocument/2006/relationships/hyperlink" Target="https://aslm.org/academy/product/oraquick-hiv-self-test/" TargetMode="External"/><Relationship Id="rId33" Type="http://schemas.openxmlformats.org/officeDocument/2006/relationships/hyperlink" Target="https://pubmed.ncbi.nlm.nih.gov/38365416/" TargetMode="External"/><Relationship Id="rId38" Type="http://schemas.openxmlformats.org/officeDocument/2006/relationships/hyperlink" Target="https://pmc.ncbi.nlm.nih.gov/articles/PMC12205209/" TargetMode="External"/><Relationship Id="rId46" Type="http://schemas.openxmlformats.org/officeDocument/2006/relationships/hyperlink" Target="https://pubmed.ncbi.nlm.nih.gov/39192180/" TargetMode="External"/><Relationship Id="rId59" Type="http://schemas.openxmlformats.org/officeDocument/2006/relationships/hyperlink" Target="https://journals.plos.org/plosmedicine/article?id=10.1371/journal.pmed.1004270" TargetMode="External"/><Relationship Id="rId20" Type="http://schemas.openxmlformats.org/officeDocument/2006/relationships/hyperlink" Target="https://pmc.ncbi.nlm.nih.gov/articles/PMC3387183/" TargetMode="External"/><Relationship Id="rId41" Type="http://schemas.openxmlformats.org/officeDocument/2006/relationships/hyperlink" Target="https://pmc.ncbi.nlm.nih.gov/articles/PMC12205209/" TargetMode="External"/><Relationship Id="rId54" Type="http://schemas.openxmlformats.org/officeDocument/2006/relationships/hyperlink" Target="https://pmc.ncbi.nlm.nih.gov/articles/PMC10881889/" TargetMode="External"/><Relationship Id="rId62" Type="http://schemas.openxmlformats.org/officeDocument/2006/relationships/hyperlink" Target="https://pubmed.ncbi.nlm.nih.gov/40441175/"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11634545/" TargetMode="External"/><Relationship Id="rId15" Type="http://schemas.openxmlformats.org/officeDocument/2006/relationships/hyperlink" Target="https://pmc.ncbi.nlm.nih.gov/articles/PMC3387183/" TargetMode="External"/><Relationship Id="rId23" Type="http://schemas.openxmlformats.org/officeDocument/2006/relationships/hyperlink" Target="https://pmc.ncbi.nlm.nih.gov/articles/PMC3945386/" TargetMode="External"/><Relationship Id="rId28" Type="http://schemas.openxmlformats.org/officeDocument/2006/relationships/hyperlink" Target="chrome-extension://efaidnbmnnnibpcajpcglclefindmkaj/https:/www.theglobalfund.org/media/2ffcrcra/psm_hivrdtreferencepricing_table_en.pdf" TargetMode="External"/><Relationship Id="rId36" Type="http://schemas.openxmlformats.org/officeDocument/2006/relationships/hyperlink" Target="https://pmc.ncbi.nlm.nih.gov/articles/PMC12205209/" TargetMode="External"/><Relationship Id="rId49" Type="http://schemas.openxmlformats.org/officeDocument/2006/relationships/hyperlink" Target="https://pubmed.ncbi.nlm.nih.gov/39192180/" TargetMode="External"/><Relationship Id="rId57" Type="http://schemas.openxmlformats.org/officeDocument/2006/relationships/hyperlink" Target="https://pmc.ncbi.nlm.nih.gov/articles/PMC10881889/" TargetMode="External"/><Relationship Id="rId10" Type="http://schemas.openxmlformats.org/officeDocument/2006/relationships/hyperlink" Target="https://onlinelibrary.wiley.com/doi/epdf/10.1002/jia2.25612" TargetMode="External"/><Relationship Id="rId31" Type="http://schemas.openxmlformats.org/officeDocument/2006/relationships/hyperlink" Target="https://pubmed.ncbi.nlm.nih.gov/36563699/" TargetMode="External"/><Relationship Id="rId44" Type="http://schemas.openxmlformats.org/officeDocument/2006/relationships/hyperlink" Target="https://pubmed.ncbi.nlm.nih.gov/40055806/" TargetMode="External"/><Relationship Id="rId52" Type="http://schemas.openxmlformats.org/officeDocument/2006/relationships/hyperlink" Target="https://pmc.ncbi.nlm.nih.gov/articles/PMC10881889/" TargetMode="External"/><Relationship Id="rId60" Type="http://schemas.openxmlformats.org/officeDocument/2006/relationships/hyperlink" Target="https://pmc.ncbi.nlm.nih.gov/articles/PMC3945386/%20%2054%25%20reduction%20between%206%20weeks%20and%206%20months.%20Assume%20limited%20protection%20after%20this%20point.%20Assumed%20NVP%20stopped%20after%206%20months" TargetMode="External"/><Relationship Id="rId65" Type="http://schemas.openxmlformats.org/officeDocument/2006/relationships/hyperlink" Target="https://bushare-my.sharepoint.com/:x:/g/personal/brooken_bu_edu/IQCDHTYCdtCCSan681dXJcGkAbVywRQhyZhA2qYZQfrrd0w?e=ZHxogx" TargetMode="External"/><Relationship Id="rId4" Type="http://schemas.openxmlformats.org/officeDocument/2006/relationships/hyperlink" Target="https://iris.who.int/server/api/core/bitstreams/a13799eb-7613-460e-b40a-498ef0ad1a29/content" TargetMode="External"/><Relationship Id="rId9" Type="http://schemas.openxmlformats.org/officeDocument/2006/relationships/hyperlink" Target="https://onlinelibrary.wiley.com/doi/epdf/10.1002/jia2.25612" TargetMode="External"/><Relationship Id="rId13" Type="http://schemas.openxmlformats.org/officeDocument/2006/relationships/hyperlink" Target="https://pmc.ncbi.nlm.nih.gov/articles/PMC3387183/" TargetMode="External"/><Relationship Id="rId18" Type="http://schemas.openxmlformats.org/officeDocument/2006/relationships/hyperlink" Target="https://www.nejm.org/doi/10.1056/NEJMoa1615822?url_ver=Z39.88-2003&amp;rfr_id=ori:rid:crossref.org&amp;rfr_dat=cr_pub%20%200www.ncbi.nlm.nih.gov" TargetMode="External"/><Relationship Id="rId39" Type="http://schemas.openxmlformats.org/officeDocument/2006/relationships/hyperlink" Target="https://pmc.ncbi.nlm.nih.gov/articles/PMC1220520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pmc.ncbi.nlm.nih.gov/articles/PMC4721939/" TargetMode="External"/><Relationship Id="rId13" Type="http://schemas.openxmlformats.org/officeDocument/2006/relationships/hyperlink" Target="https://pmc.ncbi.nlm.nih.gov/articles/PMC11868778/" TargetMode="External"/><Relationship Id="rId3" Type="http://schemas.openxmlformats.org/officeDocument/2006/relationships/hyperlink" Target="https://www.thelancet.com/journals/lanhiv/article/PIIS2352-3018(25)00132-8/fulltext" TargetMode="External"/><Relationship Id="rId7" Type="http://schemas.openxmlformats.org/officeDocument/2006/relationships/hyperlink" Target="https://link.springer.com/article/10.1186/s12879-025-10662-7" TargetMode="External"/><Relationship Id="rId12" Type="http://schemas.openxmlformats.org/officeDocument/2006/relationships/hyperlink" Target="https://journals.lww.com/jaids/fulltext/2024/01011/comparison_of_empirically_derived_and_model_based.6.aspx" TargetMode="External"/><Relationship Id="rId2" Type="http://schemas.openxmlformats.org/officeDocument/2006/relationships/hyperlink" Target="https://pmc.ncbi.nlm.nih.gov/articles/PMC6919230/" TargetMode="External"/><Relationship Id="rId1" Type="http://schemas.openxmlformats.org/officeDocument/2006/relationships/hyperlink" Target="https://onlinelibrary.wiley.com/doi/10.1002/jia2.70003" TargetMode="External"/><Relationship Id="rId6" Type="http://schemas.openxmlformats.org/officeDocument/2006/relationships/hyperlink" Target="https://pmc.ncbi.nlm.nih.gov/articles/PMC6360742/%20(3.7%25%20in%20https:/www.thelancet.com/journals/eclinm/article/PIIS2589-5370(24)00227-X/fulltext)" TargetMode="External"/><Relationship Id="rId11" Type="http://schemas.openxmlformats.org/officeDocument/2006/relationships/hyperlink" Target="https://www.nejm.org/doi/10.1056/NEJMoa1902824" TargetMode="External"/><Relationship Id="rId5" Type="http://schemas.openxmlformats.org/officeDocument/2006/relationships/hyperlink" Target="https://www.thelancet.com/journals/langlo/article/PIIS2214-109X(23)00588-0/fulltext" TargetMode="External"/><Relationship Id="rId15" Type="http://schemas.openxmlformats.org/officeDocument/2006/relationships/hyperlink" Target="https://pmc.ncbi.nlm.nih.gov/articles/PMC12205209/" TargetMode="External"/><Relationship Id="rId10" Type="http://schemas.openxmlformats.org/officeDocument/2006/relationships/hyperlink" Target="https://pmc.ncbi.nlm.nih.gov/articles/PMC12411737/%20use%201%20year%20and%204%20yera%20attrition%20respectively%20for%20unstable%20and%20stable.%20Adjust%20attrition%20by%20deaths%20and%20document%20transfers,%20additionally%20adding%20an%20assumed%2015%205%20reduction%20in%20silent%20transfers.%20Leaves%20LTFU%20~69%25%20of%20attrition.%20Divide%204%20year%20by%204%20to%20get%20annual%20value" TargetMode="External"/><Relationship Id="rId4" Type="http://schemas.openxmlformats.org/officeDocument/2006/relationships/hyperlink" Target="https://www.thelancet.com/journals/lanhiv/article/PIIS2352-3018(25)00132-8/fulltext" TargetMode="External"/><Relationship Id="rId9" Type="http://schemas.openxmlformats.org/officeDocument/2006/relationships/hyperlink" Target="https://pmc.ncbi.nlm.nih.gov/articles/PMC9292699/.%20~85%20of%20those%20on%20ART%20for%20three%20months%20and%20started%20during%20pregnancy%20achived%20CS%20relative%20to%2091.5%25%20who%20started%20before%20and%20were%20VS/%20Relative%20weighting%20~92" TargetMode="External"/><Relationship Id="rId14" Type="http://schemas.openxmlformats.org/officeDocument/2006/relationships/hyperlink" Target="https://pmc.ncbi.nlm.nih.gov/articles/PMC6919230/"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thelancet.com/journals/langlo/article/PIIS2214-109X(23)00588-0/fulltext" TargetMode="External"/><Relationship Id="rId7" Type="http://schemas.openxmlformats.org/officeDocument/2006/relationships/drawing" Target="../drawings/drawing1.xml"/><Relationship Id="rId2" Type="http://schemas.openxmlformats.org/officeDocument/2006/relationships/hyperlink" Target="https://www.thelancet.com/journals/lanhiv/article/PIIS2352-3018(25)00132-8/fulltext" TargetMode="External"/><Relationship Id="rId1" Type="http://schemas.openxmlformats.org/officeDocument/2006/relationships/hyperlink" Target="https://www.thelancet.com/journals/lanhiv/article/PIIS2352-3018(25)00132-8/fulltext" TargetMode="External"/><Relationship Id="rId6" Type="http://schemas.openxmlformats.org/officeDocument/2006/relationships/hyperlink" Target="https://pmc.ncbi.nlm.nih.gov/articles/PMC6919230/" TargetMode="External"/><Relationship Id="rId5" Type="http://schemas.openxmlformats.org/officeDocument/2006/relationships/hyperlink" Target="https://pmc.ncbi.nlm.nih.gov/articles/PMC6556977/" TargetMode="External"/><Relationship Id="rId4" Type="http://schemas.openxmlformats.org/officeDocument/2006/relationships/hyperlink" Target="https://www.thelancet.com/journals/lanhiv/article/PIIS2352-3018(25)00132-8/fulltext"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pmc.ncbi.nlm.nih.gov/articles/PMC6919230/" TargetMode="External"/><Relationship Id="rId1" Type="http://schemas.openxmlformats.org/officeDocument/2006/relationships/hyperlink" Target="https://pmc.ncbi.nlm.nih.gov/articles/PMC6919230/"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ajhivmed.org.za/index.php/hivmed/article/view/1651/34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01F5-DDCC-A94D-8738-824C64E129EB}">
  <dimension ref="A1:K115"/>
  <sheetViews>
    <sheetView tabSelected="1" topLeftCell="A88" workbookViewId="0">
      <selection activeCell="F103" sqref="F103"/>
    </sheetView>
  </sheetViews>
  <sheetFormatPr defaultColWidth="11" defaultRowHeight="15" customHeight="1"/>
  <cols>
    <col min="1" max="1" width="11" style="32"/>
    <col min="2" max="2" width="34" style="32" bestFit="1" customWidth="1"/>
    <col min="3" max="3" width="34" style="32" customWidth="1"/>
    <col min="4" max="6" width="11" style="32"/>
    <col min="7" max="7" width="20.375" style="32" customWidth="1"/>
    <col min="8" max="8" width="70.25" style="32" customWidth="1"/>
    <col min="9" max="9" width="56.125" style="32" hidden="1" customWidth="1"/>
    <col min="10" max="10" width="71.625" style="32" hidden="1" customWidth="1"/>
    <col min="11" max="16384" width="11" style="32"/>
  </cols>
  <sheetData>
    <row r="1" spans="1:11" ht="36" customHeight="1">
      <c r="A1" s="72" t="s">
        <v>0</v>
      </c>
      <c r="B1" s="72"/>
      <c r="C1" s="72"/>
      <c r="D1" s="72"/>
      <c r="E1" s="72"/>
      <c r="F1" s="72"/>
      <c r="G1" s="72"/>
      <c r="H1" s="72"/>
      <c r="I1" s="72"/>
      <c r="J1" s="72"/>
      <c r="K1" s="32" t="s">
        <v>1</v>
      </c>
    </row>
    <row r="2" spans="1:11" ht="15" customHeight="1">
      <c r="A2" s="32" t="s">
        <v>2</v>
      </c>
      <c r="B2" s="32" t="s">
        <v>3</v>
      </c>
      <c r="C2" s="32" t="s">
        <v>4</v>
      </c>
      <c r="D2" s="32" t="s">
        <v>5</v>
      </c>
      <c r="E2" s="32" t="s">
        <v>6</v>
      </c>
      <c r="F2" s="32" t="s">
        <v>7</v>
      </c>
      <c r="G2" s="32" t="s">
        <v>8</v>
      </c>
      <c r="H2" s="32" t="s">
        <v>9</v>
      </c>
      <c r="I2" s="32" t="s">
        <v>10</v>
      </c>
      <c r="J2" s="32" t="s">
        <v>11</v>
      </c>
    </row>
    <row r="3" spans="1:11" ht="15" customHeight="1">
      <c r="A3" s="40" t="s">
        <v>12</v>
      </c>
      <c r="B3" s="40" t="s">
        <v>13</v>
      </c>
      <c r="C3" t="s">
        <v>14</v>
      </c>
      <c r="D3" s="40" t="s">
        <v>15</v>
      </c>
      <c r="E3" s="32">
        <f>0.74*0.2</f>
        <v>0.14799999999999999</v>
      </c>
      <c r="G3" s="32" t="s">
        <v>16</v>
      </c>
      <c r="H3" s="32" t="s">
        <v>17</v>
      </c>
    </row>
    <row r="4" spans="1:11" ht="15" customHeight="1">
      <c r="A4" s="40" t="s">
        <v>12</v>
      </c>
      <c r="B4" s="40" t="s">
        <v>13</v>
      </c>
      <c r="C4" t="s">
        <v>14</v>
      </c>
      <c r="D4" s="32" t="s">
        <v>18</v>
      </c>
      <c r="E4" s="32">
        <v>56.26</v>
      </c>
      <c r="F4" t="s">
        <v>19</v>
      </c>
      <c r="G4" s="49" t="s">
        <v>20</v>
      </c>
      <c r="H4" s="33" t="s">
        <v>21</v>
      </c>
      <c r="K4" s="32" t="s">
        <v>22</v>
      </c>
    </row>
    <row r="5" spans="1:11" ht="15" customHeight="1">
      <c r="A5" s="40" t="s">
        <v>12</v>
      </c>
      <c r="B5" s="40" t="s">
        <v>13</v>
      </c>
      <c r="C5" t="s">
        <v>14</v>
      </c>
      <c r="D5" s="32" t="s">
        <v>23</v>
      </c>
      <c r="E5" s="32">
        <v>0.74</v>
      </c>
      <c r="F5" s="32" t="s">
        <v>24</v>
      </c>
      <c r="G5" s="49"/>
      <c r="H5" s="33"/>
    </row>
    <row r="6" spans="1:11" ht="15" customHeight="1">
      <c r="A6" s="40" t="s">
        <v>12</v>
      </c>
      <c r="B6" s="40" t="s">
        <v>13</v>
      </c>
      <c r="C6" t="s">
        <v>14</v>
      </c>
      <c r="D6" s="32" t="s">
        <v>25</v>
      </c>
      <c r="E6" s="32">
        <v>0.2</v>
      </c>
      <c r="F6" s="32" t="s">
        <v>26</v>
      </c>
      <c r="G6" s="49"/>
      <c r="H6" s="33"/>
    </row>
    <row r="7" spans="1:11" ht="15" customHeight="1">
      <c r="A7" s="40" t="s">
        <v>12</v>
      </c>
      <c r="B7" s="40" t="s">
        <v>27</v>
      </c>
      <c r="C7" t="s">
        <v>28</v>
      </c>
      <c r="D7" s="40" t="s">
        <v>15</v>
      </c>
      <c r="E7" s="32">
        <f>0.74*0.35</f>
        <v>0.25900000000000001</v>
      </c>
      <c r="G7" s="32" t="s">
        <v>29</v>
      </c>
      <c r="H7" s="32" t="s">
        <v>17</v>
      </c>
    </row>
    <row r="8" spans="1:11" ht="15" customHeight="1">
      <c r="A8" s="40" t="s">
        <v>12</v>
      </c>
      <c r="B8" s="40" t="s">
        <v>27</v>
      </c>
      <c r="C8" t="s">
        <v>28</v>
      </c>
      <c r="D8" s="32" t="s">
        <v>18</v>
      </c>
      <c r="E8" s="32">
        <v>52.95</v>
      </c>
      <c r="F8" t="s">
        <v>19</v>
      </c>
      <c r="G8" s="49" t="s">
        <v>20</v>
      </c>
      <c r="H8" s="33" t="s">
        <v>21</v>
      </c>
      <c r="K8" s="59" t="s">
        <v>22</v>
      </c>
    </row>
    <row r="9" spans="1:11" ht="15" customHeight="1">
      <c r="A9" s="40" t="s">
        <v>12</v>
      </c>
      <c r="B9" s="40" t="s">
        <v>27</v>
      </c>
      <c r="C9" t="s">
        <v>28</v>
      </c>
      <c r="D9" s="32" t="s">
        <v>23</v>
      </c>
      <c r="E9" s="32">
        <v>0.74</v>
      </c>
      <c r="F9" s="32" t="s">
        <v>24</v>
      </c>
      <c r="G9" s="49"/>
      <c r="H9" s="33"/>
      <c r="K9" s="59"/>
    </row>
    <row r="10" spans="1:11" ht="15" customHeight="1">
      <c r="A10" s="40" t="s">
        <v>12</v>
      </c>
      <c r="B10" s="40" t="s">
        <v>27</v>
      </c>
      <c r="C10" t="s">
        <v>28</v>
      </c>
      <c r="D10" s="32" t="s">
        <v>25</v>
      </c>
      <c r="E10" s="32">
        <v>0.35</v>
      </c>
      <c r="F10" s="32" t="s">
        <v>26</v>
      </c>
      <c r="G10" s="49"/>
      <c r="H10" s="33"/>
      <c r="K10" s="59"/>
    </row>
    <row r="11" spans="1:11" ht="15" customHeight="1">
      <c r="A11" s="40" t="s">
        <v>12</v>
      </c>
      <c r="B11" s="40" t="s">
        <v>30</v>
      </c>
      <c r="C11" t="s">
        <v>31</v>
      </c>
      <c r="D11" s="40" t="s">
        <v>15</v>
      </c>
      <c r="E11" s="32">
        <f>0.74*0.2</f>
        <v>0.14799999999999999</v>
      </c>
      <c r="G11" s="32" t="s">
        <v>16</v>
      </c>
      <c r="H11" s="32" t="s">
        <v>17</v>
      </c>
    </row>
    <row r="12" spans="1:11" ht="15" customHeight="1">
      <c r="A12" s="40" t="s">
        <v>12</v>
      </c>
      <c r="B12" s="40" t="s">
        <v>30</v>
      </c>
      <c r="C12" t="s">
        <v>31</v>
      </c>
      <c r="D12" s="32" t="s">
        <v>18</v>
      </c>
      <c r="E12" s="32">
        <v>54.98</v>
      </c>
      <c r="F12" t="s">
        <v>19</v>
      </c>
      <c r="G12" s="49" t="s">
        <v>20</v>
      </c>
      <c r="H12" s="33" t="s">
        <v>21</v>
      </c>
      <c r="K12" s="59" t="s">
        <v>22</v>
      </c>
    </row>
    <row r="13" spans="1:11" ht="15" customHeight="1">
      <c r="A13" s="40" t="s">
        <v>12</v>
      </c>
      <c r="B13" s="40" t="s">
        <v>30</v>
      </c>
      <c r="C13" t="s">
        <v>31</v>
      </c>
      <c r="D13" s="32" t="s">
        <v>23</v>
      </c>
      <c r="E13" s="32">
        <v>0.74</v>
      </c>
      <c r="F13" s="32" t="s">
        <v>24</v>
      </c>
      <c r="G13" s="49"/>
      <c r="H13" s="33"/>
      <c r="K13" s="59"/>
    </row>
    <row r="14" spans="1:11" ht="15" customHeight="1">
      <c r="A14" s="40" t="s">
        <v>12</v>
      </c>
      <c r="B14" s="40" t="s">
        <v>30</v>
      </c>
      <c r="C14" t="s">
        <v>31</v>
      </c>
      <c r="D14" s="32" t="s">
        <v>25</v>
      </c>
      <c r="E14" s="32">
        <v>0.2</v>
      </c>
      <c r="F14" s="32" t="s">
        <v>26</v>
      </c>
      <c r="G14" s="49"/>
      <c r="H14" s="33"/>
      <c r="K14" s="59"/>
    </row>
    <row r="15" spans="1:11" ht="15" customHeight="1">
      <c r="A15" s="40" t="s">
        <v>12</v>
      </c>
      <c r="B15" s="40" t="s">
        <v>32</v>
      </c>
      <c r="C15" t="s">
        <v>33</v>
      </c>
      <c r="D15" s="40" t="s">
        <v>15</v>
      </c>
      <c r="E15" s="32">
        <f>0.74*0.2</f>
        <v>0.14799999999999999</v>
      </c>
      <c r="G15" s="32" t="s">
        <v>16</v>
      </c>
      <c r="H15" s="32" t="s">
        <v>17</v>
      </c>
    </row>
    <row r="16" spans="1:11" ht="15" customHeight="1">
      <c r="A16" s="40" t="s">
        <v>12</v>
      </c>
      <c r="B16" s="40" t="s">
        <v>32</v>
      </c>
      <c r="C16" t="s">
        <v>33</v>
      </c>
      <c r="D16" s="32" t="s">
        <v>18</v>
      </c>
      <c r="E16" s="32">
        <v>54.98</v>
      </c>
      <c r="F16" t="s">
        <v>19</v>
      </c>
      <c r="G16" s="49" t="s">
        <v>20</v>
      </c>
      <c r="H16" s="33" t="s">
        <v>21</v>
      </c>
      <c r="K16" s="59" t="s">
        <v>22</v>
      </c>
    </row>
    <row r="17" spans="1:11" ht="15" customHeight="1">
      <c r="A17" s="40" t="s">
        <v>12</v>
      </c>
      <c r="B17" s="40" t="s">
        <v>32</v>
      </c>
      <c r="C17" t="s">
        <v>33</v>
      </c>
      <c r="D17" s="32" t="s">
        <v>23</v>
      </c>
      <c r="E17" s="32">
        <v>0.74</v>
      </c>
      <c r="F17" s="32" t="s">
        <v>24</v>
      </c>
      <c r="G17" s="49"/>
      <c r="H17" s="33"/>
      <c r="K17" s="59"/>
    </row>
    <row r="18" spans="1:11" ht="15" customHeight="1">
      <c r="A18" s="40" t="s">
        <v>12</v>
      </c>
      <c r="B18" s="40" t="s">
        <v>32</v>
      </c>
      <c r="C18" t="s">
        <v>33</v>
      </c>
      <c r="D18" s="32" t="s">
        <v>25</v>
      </c>
      <c r="E18" s="32">
        <v>0.2</v>
      </c>
      <c r="F18" s="32" t="s">
        <v>26</v>
      </c>
      <c r="G18" s="49"/>
      <c r="H18" s="33"/>
      <c r="K18" s="59"/>
    </row>
    <row r="19" spans="1:11" s="66" customFormat="1" ht="43.5">
      <c r="A19" s="66" t="s">
        <v>12</v>
      </c>
      <c r="B19" s="66" t="s">
        <v>34</v>
      </c>
      <c r="C19" s="66" t="s">
        <v>35</v>
      </c>
      <c r="D19" s="66" t="s">
        <v>15</v>
      </c>
      <c r="E19" s="66">
        <v>8.3000000000000004E-2</v>
      </c>
      <c r="G19" s="66" t="s">
        <v>36</v>
      </c>
      <c r="H19" s="66" t="s">
        <v>37</v>
      </c>
      <c r="I19" s="66" t="s">
        <v>38</v>
      </c>
      <c r="J19" s="66" t="s">
        <v>39</v>
      </c>
    </row>
    <row r="20" spans="1:11" s="67" customFormat="1" ht="35.25" customHeight="1">
      <c r="A20" s="67" t="s">
        <v>12</v>
      </c>
      <c r="B20" s="67" t="s">
        <v>34</v>
      </c>
      <c r="C20" s="67" t="s">
        <v>35</v>
      </c>
      <c r="D20" s="67" t="s">
        <v>18</v>
      </c>
      <c r="E20" s="67">
        <v>54.98</v>
      </c>
      <c r="F20" t="s">
        <v>19</v>
      </c>
      <c r="G20" s="68" t="s">
        <v>20</v>
      </c>
      <c r="H20" s="67" t="s">
        <v>21</v>
      </c>
      <c r="I20" s="67" t="s">
        <v>40</v>
      </c>
      <c r="J20" s="67" t="s">
        <v>41</v>
      </c>
      <c r="K20" s="67" t="s">
        <v>42</v>
      </c>
    </row>
    <row r="21" spans="1:11" ht="35.25" customHeight="1">
      <c r="A21" s="40" t="s">
        <v>12</v>
      </c>
      <c r="B21" s="40" t="s">
        <v>43</v>
      </c>
      <c r="C21" t="s">
        <v>44</v>
      </c>
      <c r="D21" s="40" t="s">
        <v>15</v>
      </c>
      <c r="E21" s="40">
        <v>0.75</v>
      </c>
      <c r="F21" s="40"/>
      <c r="G21" s="40" t="s">
        <v>45</v>
      </c>
      <c r="H21" s="41" t="s">
        <v>45</v>
      </c>
    </row>
    <row r="22" spans="1:11" ht="35.25" customHeight="1">
      <c r="A22" s="40" t="s">
        <v>12</v>
      </c>
      <c r="B22" s="40" t="s">
        <v>43</v>
      </c>
      <c r="C22" t="s">
        <v>44</v>
      </c>
      <c r="D22" s="32" t="s">
        <v>18</v>
      </c>
      <c r="E22" s="32">
        <v>47.66</v>
      </c>
      <c r="F22" t="s">
        <v>19</v>
      </c>
      <c r="G22" s="49" t="s">
        <v>46</v>
      </c>
      <c r="H22" s="33" t="s">
        <v>21</v>
      </c>
      <c r="K22" s="59" t="s">
        <v>22</v>
      </c>
    </row>
    <row r="23" spans="1:11" ht="35.25" customHeight="1">
      <c r="A23" s="40" t="s">
        <v>12</v>
      </c>
      <c r="B23" s="40" t="s">
        <v>43</v>
      </c>
      <c r="C23" t="s">
        <v>44</v>
      </c>
      <c r="D23" s="32" t="s">
        <v>23</v>
      </c>
      <c r="E23" s="32">
        <v>1</v>
      </c>
      <c r="F23" s="32" t="s">
        <v>47</v>
      </c>
      <c r="G23" s="49"/>
      <c r="H23" s="33"/>
      <c r="K23" s="59"/>
    </row>
    <row r="24" spans="1:11" ht="35.25" customHeight="1">
      <c r="A24" s="40" t="s">
        <v>12</v>
      </c>
      <c r="B24" s="40" t="s">
        <v>43</v>
      </c>
      <c r="C24" t="s">
        <v>44</v>
      </c>
      <c r="D24" s="32" t="s">
        <v>48</v>
      </c>
      <c r="E24" s="32">
        <v>0.5</v>
      </c>
      <c r="F24" s="32" t="s">
        <v>49</v>
      </c>
      <c r="G24" s="49"/>
      <c r="H24" s="33"/>
      <c r="K24" s="59"/>
    </row>
    <row r="25" spans="1:11" ht="35.25" customHeight="1">
      <c r="A25" s="40" t="s">
        <v>12</v>
      </c>
      <c r="B25" s="40" t="s">
        <v>43</v>
      </c>
      <c r="C25" t="s">
        <v>44</v>
      </c>
      <c r="D25" s="32" t="s">
        <v>50</v>
      </c>
      <c r="E25" s="32">
        <v>0.5</v>
      </c>
      <c r="F25" s="32" t="s">
        <v>51</v>
      </c>
      <c r="G25" s="49"/>
      <c r="H25" s="33"/>
      <c r="K25" s="59"/>
    </row>
    <row r="26" spans="1:11" ht="35.25" customHeight="1">
      <c r="A26" s="40" t="s">
        <v>12</v>
      </c>
      <c r="B26" s="40" t="s">
        <v>52</v>
      </c>
      <c r="C26" t="s">
        <v>53</v>
      </c>
      <c r="D26" s="40" t="s">
        <v>15</v>
      </c>
      <c r="E26" s="40">
        <v>0.75</v>
      </c>
      <c r="F26" s="40"/>
      <c r="G26" s="40" t="s">
        <v>45</v>
      </c>
      <c r="H26" s="41" t="s">
        <v>45</v>
      </c>
    </row>
    <row r="27" spans="1:11" ht="35.25" customHeight="1">
      <c r="A27" s="40" t="s">
        <v>12</v>
      </c>
      <c r="B27" s="40" t="s">
        <v>52</v>
      </c>
      <c r="C27" t="s">
        <v>53</v>
      </c>
      <c r="D27" s="32" t="s">
        <v>18</v>
      </c>
      <c r="E27" s="32">
        <v>45.34</v>
      </c>
      <c r="F27" t="s">
        <v>19</v>
      </c>
      <c r="G27" s="49" t="s">
        <v>46</v>
      </c>
      <c r="H27" s="33" t="s">
        <v>21</v>
      </c>
      <c r="K27" s="59" t="s">
        <v>22</v>
      </c>
    </row>
    <row r="28" spans="1:11" ht="35.25" customHeight="1">
      <c r="A28" s="40" t="s">
        <v>12</v>
      </c>
      <c r="B28" s="40" t="s">
        <v>52</v>
      </c>
      <c r="C28" t="s">
        <v>53</v>
      </c>
      <c r="D28" s="32" t="s">
        <v>23</v>
      </c>
      <c r="E28" s="32">
        <v>1</v>
      </c>
      <c r="F28" s="32" t="s">
        <v>47</v>
      </c>
      <c r="G28" s="49"/>
      <c r="H28" s="33"/>
      <c r="K28" s="59"/>
    </row>
    <row r="29" spans="1:11" ht="35.25" customHeight="1">
      <c r="A29" s="40" t="s">
        <v>12</v>
      </c>
      <c r="B29" s="40" t="s">
        <v>52</v>
      </c>
      <c r="C29" t="s">
        <v>53</v>
      </c>
      <c r="D29" s="32" t="s">
        <v>48</v>
      </c>
      <c r="E29" s="32">
        <v>0.5</v>
      </c>
      <c r="F29" s="32" t="s">
        <v>49</v>
      </c>
      <c r="G29" s="49"/>
      <c r="H29" s="33"/>
      <c r="K29" s="59"/>
    </row>
    <row r="30" spans="1:11" ht="35.25" customHeight="1">
      <c r="A30" s="40" t="s">
        <v>12</v>
      </c>
      <c r="B30" s="40" t="s">
        <v>52</v>
      </c>
      <c r="C30" t="s">
        <v>53</v>
      </c>
      <c r="D30" s="32" t="s">
        <v>50</v>
      </c>
      <c r="E30" s="32">
        <v>0.5</v>
      </c>
      <c r="F30" s="32" t="s">
        <v>51</v>
      </c>
      <c r="G30" s="49"/>
      <c r="H30" s="33"/>
      <c r="K30" s="59"/>
    </row>
    <row r="31" spans="1:11" ht="35.25" customHeight="1">
      <c r="A31" s="40" t="s">
        <v>12</v>
      </c>
      <c r="B31" s="40" t="s">
        <v>54</v>
      </c>
      <c r="C31" t="s">
        <v>55</v>
      </c>
      <c r="D31" s="40" t="s">
        <v>15</v>
      </c>
      <c r="E31" s="40">
        <v>0.75</v>
      </c>
      <c r="F31" s="40"/>
      <c r="G31" s="40" t="s">
        <v>45</v>
      </c>
      <c r="H31" s="41" t="s">
        <v>45</v>
      </c>
    </row>
    <row r="32" spans="1:11" ht="35.25" customHeight="1">
      <c r="A32" s="40" t="s">
        <v>12</v>
      </c>
      <c r="B32" s="40" t="s">
        <v>54</v>
      </c>
      <c r="C32" t="s">
        <v>55</v>
      </c>
      <c r="D32" s="32" t="s">
        <v>18</v>
      </c>
      <c r="E32" s="32">
        <v>47.66</v>
      </c>
      <c r="F32" t="s">
        <v>19</v>
      </c>
      <c r="G32" s="49" t="s">
        <v>46</v>
      </c>
      <c r="H32" s="33" t="s">
        <v>21</v>
      </c>
      <c r="K32" s="59" t="s">
        <v>22</v>
      </c>
    </row>
    <row r="33" spans="1:11" ht="35.25" customHeight="1">
      <c r="A33" s="40" t="s">
        <v>12</v>
      </c>
      <c r="B33" s="40" t="s">
        <v>54</v>
      </c>
      <c r="C33" t="s">
        <v>55</v>
      </c>
      <c r="D33" s="32" t="s">
        <v>23</v>
      </c>
      <c r="E33" s="32">
        <v>1</v>
      </c>
      <c r="F33" s="32" t="s">
        <v>47</v>
      </c>
      <c r="G33" s="49"/>
      <c r="H33" s="33"/>
      <c r="K33" s="59"/>
    </row>
    <row r="34" spans="1:11" ht="35.25" customHeight="1">
      <c r="A34" s="40" t="s">
        <v>12</v>
      </c>
      <c r="B34" s="40" t="s">
        <v>54</v>
      </c>
      <c r="C34" t="s">
        <v>55</v>
      </c>
      <c r="D34" s="32" t="s">
        <v>48</v>
      </c>
      <c r="E34" s="32">
        <v>0.5</v>
      </c>
      <c r="F34" s="32" t="s">
        <v>49</v>
      </c>
      <c r="G34" s="49"/>
      <c r="H34" s="33"/>
      <c r="K34" s="59"/>
    </row>
    <row r="35" spans="1:11" ht="35.25" customHeight="1">
      <c r="A35" s="40" t="s">
        <v>12</v>
      </c>
      <c r="B35" s="40" t="s">
        <v>54</v>
      </c>
      <c r="C35" t="s">
        <v>55</v>
      </c>
      <c r="D35" s="32" t="s">
        <v>50</v>
      </c>
      <c r="E35" s="32">
        <v>0.5</v>
      </c>
      <c r="F35" s="32" t="s">
        <v>51</v>
      </c>
      <c r="G35" s="49"/>
      <c r="H35" s="33"/>
      <c r="K35" s="59"/>
    </row>
    <row r="36" spans="1:11" ht="35.25" customHeight="1">
      <c r="A36" s="40" t="s">
        <v>12</v>
      </c>
      <c r="B36" s="40" t="s">
        <v>56</v>
      </c>
      <c r="C36" t="s">
        <v>57</v>
      </c>
      <c r="D36" s="40" t="s">
        <v>15</v>
      </c>
      <c r="E36" s="40">
        <v>0.75</v>
      </c>
      <c r="F36" s="40"/>
      <c r="G36" s="40" t="s">
        <v>45</v>
      </c>
      <c r="H36" s="41" t="s">
        <v>45</v>
      </c>
    </row>
    <row r="37" spans="1:11" ht="35.25" customHeight="1">
      <c r="A37" s="40" t="s">
        <v>12</v>
      </c>
      <c r="B37" s="40" t="s">
        <v>56</v>
      </c>
      <c r="C37" t="s">
        <v>57</v>
      </c>
      <c r="D37" s="32" t="s">
        <v>18</v>
      </c>
      <c r="E37" s="32">
        <v>47.66</v>
      </c>
      <c r="F37" t="s">
        <v>19</v>
      </c>
      <c r="G37" s="49" t="s">
        <v>46</v>
      </c>
      <c r="H37" s="33" t="s">
        <v>21</v>
      </c>
      <c r="K37" s="59" t="s">
        <v>22</v>
      </c>
    </row>
    <row r="38" spans="1:11" ht="35.25" customHeight="1">
      <c r="A38" s="40" t="s">
        <v>12</v>
      </c>
      <c r="B38" s="40" t="s">
        <v>56</v>
      </c>
      <c r="C38" t="s">
        <v>57</v>
      </c>
      <c r="D38" s="32" t="s">
        <v>23</v>
      </c>
      <c r="E38" s="32">
        <v>1</v>
      </c>
      <c r="F38" s="32" t="s">
        <v>47</v>
      </c>
      <c r="G38" s="49"/>
      <c r="H38" s="33"/>
      <c r="K38" s="59"/>
    </row>
    <row r="39" spans="1:11" ht="35.25" customHeight="1">
      <c r="A39" s="40" t="s">
        <v>12</v>
      </c>
      <c r="B39" s="40" t="s">
        <v>56</v>
      </c>
      <c r="C39" t="s">
        <v>57</v>
      </c>
      <c r="D39" s="32" t="s">
        <v>48</v>
      </c>
      <c r="E39" s="32">
        <v>0.5</v>
      </c>
      <c r="F39" s="32" t="s">
        <v>49</v>
      </c>
      <c r="G39" s="49"/>
      <c r="H39" s="33"/>
      <c r="K39" s="59"/>
    </row>
    <row r="40" spans="1:11" ht="35.25" customHeight="1">
      <c r="A40" s="40" t="s">
        <v>12</v>
      </c>
      <c r="B40" s="40" t="s">
        <v>56</v>
      </c>
      <c r="C40" t="s">
        <v>57</v>
      </c>
      <c r="D40" s="32" t="s">
        <v>50</v>
      </c>
      <c r="E40" s="32">
        <v>0.5</v>
      </c>
      <c r="F40" s="32" t="s">
        <v>51</v>
      </c>
      <c r="G40" s="49"/>
      <c r="H40" s="33"/>
      <c r="K40" s="59"/>
    </row>
    <row r="41" spans="1:11" s="69" customFormat="1">
      <c r="A41" s="69" t="s">
        <v>12</v>
      </c>
      <c r="B41" s="69" t="s">
        <v>58</v>
      </c>
      <c r="C41" s="69" t="s">
        <v>59</v>
      </c>
      <c r="D41" s="69" t="s">
        <v>15</v>
      </c>
      <c r="E41" s="69">
        <v>0.75</v>
      </c>
      <c r="G41" s="69" t="s">
        <v>45</v>
      </c>
      <c r="H41" s="69" t="s">
        <v>45</v>
      </c>
      <c r="I41" s="69" t="s">
        <v>60</v>
      </c>
      <c r="J41" s="69" t="s">
        <v>61</v>
      </c>
    </row>
    <row r="42" spans="1:11" s="70" customFormat="1" ht="15" customHeight="1">
      <c r="A42" s="70" t="s">
        <v>12</v>
      </c>
      <c r="B42" s="70" t="s">
        <v>58</v>
      </c>
      <c r="C42" s="70" t="s">
        <v>59</v>
      </c>
      <c r="D42" s="70" t="s">
        <v>18</v>
      </c>
      <c r="E42" s="70">
        <v>47.66</v>
      </c>
      <c r="F42" t="s">
        <v>19</v>
      </c>
      <c r="G42" s="71" t="s">
        <v>46</v>
      </c>
      <c r="H42" s="70" t="s">
        <v>62</v>
      </c>
      <c r="I42" s="70" t="s">
        <v>63</v>
      </c>
      <c r="J42" s="70" t="s">
        <v>64</v>
      </c>
    </row>
    <row r="43" spans="1:11" s="40" customFormat="1" ht="72.75">
      <c r="A43" s="40" t="s">
        <v>12</v>
      </c>
      <c r="B43" s="40" t="s">
        <v>65</v>
      </c>
      <c r="C43" s="40" t="s">
        <v>66</v>
      </c>
      <c r="D43" s="40" t="s">
        <v>15</v>
      </c>
      <c r="E43" s="40">
        <v>0.6</v>
      </c>
      <c r="G43" s="42" t="s">
        <v>67</v>
      </c>
      <c r="H43" s="41" t="s">
        <v>68</v>
      </c>
      <c r="I43" s="40" t="s">
        <v>69</v>
      </c>
      <c r="J43" s="40" t="s">
        <v>70</v>
      </c>
    </row>
    <row r="44" spans="1:11" ht="15" customHeight="1">
      <c r="A44" s="32" t="s">
        <v>12</v>
      </c>
      <c r="B44" s="32" t="s">
        <v>65</v>
      </c>
      <c r="C44" s="32" t="s">
        <v>66</v>
      </c>
      <c r="D44" s="32" t="s">
        <v>18</v>
      </c>
      <c r="E44" s="32">
        <v>90</v>
      </c>
      <c r="F44" t="s">
        <v>71</v>
      </c>
      <c r="G44" s="49" t="s">
        <v>72</v>
      </c>
      <c r="H44" s="33" t="s">
        <v>73</v>
      </c>
      <c r="I44" s="32" t="s">
        <v>74</v>
      </c>
      <c r="J44" s="32" t="s">
        <v>75</v>
      </c>
      <c r="K44" s="32" t="s">
        <v>76</v>
      </c>
    </row>
    <row r="45" spans="1:11" s="40" customFormat="1" ht="43.5">
      <c r="A45" s="40" t="s">
        <v>12</v>
      </c>
      <c r="B45" s="40" t="s">
        <v>77</v>
      </c>
      <c r="C45" s="40" t="s">
        <v>78</v>
      </c>
      <c r="D45" s="40" t="s">
        <v>15</v>
      </c>
      <c r="E45" s="40">
        <v>0.9</v>
      </c>
      <c r="G45" s="42" t="s">
        <v>79</v>
      </c>
      <c r="H45" s="41" t="s">
        <v>80</v>
      </c>
      <c r="I45" s="40" t="s">
        <v>81</v>
      </c>
      <c r="J45" s="40" t="s">
        <v>82</v>
      </c>
    </row>
    <row r="46" spans="1:11" ht="15" customHeight="1">
      <c r="A46" s="32" t="s">
        <v>12</v>
      </c>
      <c r="B46" s="32" t="s">
        <v>77</v>
      </c>
      <c r="C46" s="32" t="s">
        <v>78</v>
      </c>
      <c r="D46" s="32" t="s">
        <v>18</v>
      </c>
      <c r="E46" s="32">
        <v>0.06</v>
      </c>
      <c r="F46" s="32" t="s">
        <v>83</v>
      </c>
      <c r="G46" s="59" t="s">
        <v>84</v>
      </c>
      <c r="H46" s="59" t="s">
        <v>84</v>
      </c>
      <c r="I46" s="32" t="s">
        <v>85</v>
      </c>
      <c r="J46" s="32" t="s">
        <v>86</v>
      </c>
      <c r="K46" s="32" t="s">
        <v>76</v>
      </c>
    </row>
    <row r="47" spans="1:11" s="40" customFormat="1" ht="88.5" customHeight="1">
      <c r="A47" s="40" t="s">
        <v>12</v>
      </c>
      <c r="B47" s="40" t="s">
        <v>87</v>
      </c>
      <c r="C47" s="40" t="s">
        <v>88</v>
      </c>
      <c r="D47" s="40" t="s">
        <v>15</v>
      </c>
      <c r="E47" s="40">
        <v>0.8</v>
      </c>
      <c r="G47" s="42" t="s">
        <v>89</v>
      </c>
      <c r="H47" s="44" t="s">
        <v>90</v>
      </c>
      <c r="I47" s="40" t="s">
        <v>91</v>
      </c>
    </row>
    <row r="48" spans="1:11" ht="15" customHeight="1">
      <c r="A48" s="32" t="s">
        <v>12</v>
      </c>
      <c r="B48" s="32" t="s">
        <v>87</v>
      </c>
      <c r="C48" s="32" t="s">
        <v>88</v>
      </c>
      <c r="D48" s="32" t="s">
        <v>18</v>
      </c>
      <c r="E48" s="32">
        <v>19</v>
      </c>
      <c r="G48" s="48" t="s">
        <v>92</v>
      </c>
      <c r="H48" s="33" t="s">
        <v>93</v>
      </c>
      <c r="I48" s="32" t="s">
        <v>94</v>
      </c>
      <c r="J48" s="32" t="s">
        <v>95</v>
      </c>
      <c r="K48" s="32" t="s">
        <v>76</v>
      </c>
    </row>
    <row r="49" spans="1:11" s="40" customFormat="1" ht="46.5">
      <c r="A49" s="40" t="s">
        <v>12</v>
      </c>
      <c r="B49" s="40" t="s">
        <v>96</v>
      </c>
      <c r="C49" s="40" t="s">
        <v>97</v>
      </c>
      <c r="D49" s="40" t="s">
        <v>15</v>
      </c>
      <c r="E49" s="40">
        <v>0.54</v>
      </c>
      <c r="G49" s="48" t="s">
        <v>98</v>
      </c>
      <c r="H49" s="60" t="s">
        <v>99</v>
      </c>
    </row>
    <row r="50" spans="1:11" ht="15" customHeight="1">
      <c r="A50" s="32" t="s">
        <v>12</v>
      </c>
      <c r="B50" s="32" t="s">
        <v>96</v>
      </c>
      <c r="C50" s="32" t="s">
        <v>97</v>
      </c>
      <c r="D50" s="32" t="s">
        <v>18</v>
      </c>
      <c r="E50" s="32">
        <v>12.86</v>
      </c>
      <c r="F50" s="32" t="s">
        <v>100</v>
      </c>
      <c r="G50" s="50" t="s">
        <v>101</v>
      </c>
      <c r="H50" s="33" t="s">
        <v>102</v>
      </c>
      <c r="I50" s="32" t="s">
        <v>103</v>
      </c>
      <c r="J50" s="32" t="s">
        <v>104</v>
      </c>
      <c r="K50" s="32" t="s">
        <v>76</v>
      </c>
    </row>
    <row r="51" spans="1:11" ht="15" customHeight="1">
      <c r="A51" s="32" t="s">
        <v>12</v>
      </c>
      <c r="B51" s="32" t="s">
        <v>105</v>
      </c>
      <c r="C51" s="32" t="s">
        <v>106</v>
      </c>
      <c r="D51" s="32" t="s">
        <v>18</v>
      </c>
      <c r="E51" s="32">
        <v>10</v>
      </c>
      <c r="G51" s="32" t="s">
        <v>107</v>
      </c>
      <c r="H51" s="34" t="s">
        <v>108</v>
      </c>
      <c r="I51" s="32" t="s">
        <v>109</v>
      </c>
      <c r="J51" s="32" t="s">
        <v>110</v>
      </c>
      <c r="K51" s="32" t="s">
        <v>111</v>
      </c>
    </row>
    <row r="52" spans="1:11" s="40" customFormat="1" ht="43.5">
      <c r="A52" s="40" t="s">
        <v>112</v>
      </c>
      <c r="B52" s="40" t="s">
        <v>113</v>
      </c>
      <c r="C52" s="40" t="s">
        <v>114</v>
      </c>
      <c r="D52" s="40" t="s">
        <v>15</v>
      </c>
      <c r="E52" s="40">
        <v>1</v>
      </c>
      <c r="G52" s="42" t="s">
        <v>115</v>
      </c>
      <c r="H52" s="41" t="s">
        <v>116</v>
      </c>
      <c r="I52" s="40" t="s">
        <v>117</v>
      </c>
    </row>
    <row r="53" spans="1:11" ht="15" customHeight="1">
      <c r="A53" s="32" t="s">
        <v>112</v>
      </c>
      <c r="B53" s="32" t="s">
        <v>113</v>
      </c>
      <c r="C53" s="32" t="s">
        <v>114</v>
      </c>
      <c r="D53" s="32" t="s">
        <v>18</v>
      </c>
      <c r="E53" s="37">
        <v>5.48</v>
      </c>
      <c r="F53" t="s">
        <v>19</v>
      </c>
      <c r="G53" s="49" t="s">
        <v>118</v>
      </c>
      <c r="H53" s="51" t="s">
        <v>119</v>
      </c>
      <c r="I53" s="32" t="s">
        <v>120</v>
      </c>
      <c r="J53" s="32" t="s">
        <v>121</v>
      </c>
      <c r="K53" s="59" t="s">
        <v>22</v>
      </c>
    </row>
    <row r="54" spans="1:11" s="40" customFormat="1" ht="57.75">
      <c r="A54" s="40" t="s">
        <v>112</v>
      </c>
      <c r="B54" s="40" t="s">
        <v>113</v>
      </c>
      <c r="C54" s="40" t="s">
        <v>114</v>
      </c>
      <c r="D54" s="40" t="s">
        <v>122</v>
      </c>
      <c r="E54" s="40">
        <v>0.93</v>
      </c>
      <c r="G54" s="42" t="s">
        <v>123</v>
      </c>
      <c r="H54" s="41" t="s">
        <v>124</v>
      </c>
      <c r="I54" s="40" t="s">
        <v>125</v>
      </c>
    </row>
    <row r="55" spans="1:11" ht="15" customHeight="1">
      <c r="A55" s="32" t="s">
        <v>112</v>
      </c>
      <c r="B55" s="32" t="s">
        <v>113</v>
      </c>
      <c r="C55" s="32" t="s">
        <v>114</v>
      </c>
      <c r="D55" s="32" t="s">
        <v>126</v>
      </c>
      <c r="E55" s="32">
        <v>0</v>
      </c>
      <c r="G55" s="48" t="s">
        <v>127</v>
      </c>
      <c r="H55" s="38" t="s">
        <v>128</v>
      </c>
      <c r="I55" s="32" t="s">
        <v>129</v>
      </c>
      <c r="J55" s="32" t="s">
        <v>130</v>
      </c>
    </row>
    <row r="56" spans="1:11" s="40" customFormat="1" ht="43.5">
      <c r="A56" s="40" t="s">
        <v>112</v>
      </c>
      <c r="B56" s="40" t="s">
        <v>131</v>
      </c>
      <c r="C56" s="40" t="s">
        <v>132</v>
      </c>
      <c r="D56" s="40" t="s">
        <v>15</v>
      </c>
      <c r="E56" s="40">
        <v>1</v>
      </c>
      <c r="G56" s="42" t="s">
        <v>115</v>
      </c>
      <c r="H56" s="41" t="s">
        <v>116</v>
      </c>
      <c r="I56" s="40" t="s">
        <v>117</v>
      </c>
    </row>
    <row r="57" spans="1:11" ht="15" customHeight="1">
      <c r="A57" s="32" t="s">
        <v>112</v>
      </c>
      <c r="B57" s="32" t="s">
        <v>131</v>
      </c>
      <c r="C57" s="32" t="s">
        <v>132</v>
      </c>
      <c r="D57" s="32" t="s">
        <v>18</v>
      </c>
      <c r="E57" s="37">
        <v>4.3899999999999997</v>
      </c>
      <c r="F57" t="s">
        <v>19</v>
      </c>
      <c r="G57" s="49" t="s">
        <v>118</v>
      </c>
      <c r="H57" s="51" t="s">
        <v>133</v>
      </c>
      <c r="I57" s="32" t="s">
        <v>120</v>
      </c>
      <c r="J57" s="32" t="s">
        <v>134</v>
      </c>
      <c r="K57" s="59" t="s">
        <v>22</v>
      </c>
    </row>
    <row r="58" spans="1:11" s="40" customFormat="1" ht="57.75">
      <c r="A58" s="40" t="s">
        <v>112</v>
      </c>
      <c r="B58" s="40" t="s">
        <v>131</v>
      </c>
      <c r="C58" s="40" t="s">
        <v>132</v>
      </c>
      <c r="D58" s="40" t="s">
        <v>122</v>
      </c>
      <c r="E58" s="40">
        <v>0.93</v>
      </c>
      <c r="G58" s="42" t="s">
        <v>123</v>
      </c>
      <c r="H58" s="41" t="s">
        <v>124</v>
      </c>
      <c r="I58" s="40" t="s">
        <v>125</v>
      </c>
    </row>
    <row r="59" spans="1:11" ht="15" customHeight="1">
      <c r="A59" s="32" t="s">
        <v>112</v>
      </c>
      <c r="B59" s="32" t="s">
        <v>131</v>
      </c>
      <c r="C59" s="32" t="s">
        <v>132</v>
      </c>
      <c r="D59" s="32" t="s">
        <v>126</v>
      </c>
      <c r="E59" s="32">
        <v>0</v>
      </c>
      <c r="G59" s="48" t="s">
        <v>127</v>
      </c>
      <c r="H59" s="38" t="s">
        <v>128</v>
      </c>
      <c r="I59" s="32" t="s">
        <v>129</v>
      </c>
      <c r="J59" s="32" t="s">
        <v>130</v>
      </c>
    </row>
    <row r="60" spans="1:11" s="40" customFormat="1" ht="43.5">
      <c r="A60" s="40" t="s">
        <v>112</v>
      </c>
      <c r="B60" s="40" t="s">
        <v>135</v>
      </c>
      <c r="C60" s="40" t="s">
        <v>136</v>
      </c>
      <c r="D60" s="40" t="s">
        <v>15</v>
      </c>
      <c r="E60" s="40">
        <v>1</v>
      </c>
      <c r="G60" s="42" t="s">
        <v>115</v>
      </c>
      <c r="H60" s="41" t="s">
        <v>116</v>
      </c>
      <c r="I60" s="40" t="s">
        <v>117</v>
      </c>
    </row>
    <row r="61" spans="1:11" ht="15" customHeight="1">
      <c r="A61" s="32" t="s">
        <v>112</v>
      </c>
      <c r="B61" s="32" t="s">
        <v>135</v>
      </c>
      <c r="C61" s="32" t="s">
        <v>136</v>
      </c>
      <c r="D61" s="32" t="s">
        <v>18</v>
      </c>
      <c r="E61" s="37">
        <v>4.3899999999999997</v>
      </c>
      <c r="F61" t="s">
        <v>19</v>
      </c>
      <c r="G61" s="49" t="s">
        <v>137</v>
      </c>
      <c r="H61" s="60" t="s">
        <v>84</v>
      </c>
      <c r="I61" s="32" t="s">
        <v>120</v>
      </c>
      <c r="J61" s="32" t="s">
        <v>138</v>
      </c>
      <c r="K61" s="59" t="s">
        <v>22</v>
      </c>
    </row>
    <row r="62" spans="1:11" s="40" customFormat="1" ht="57.75">
      <c r="A62" s="40" t="s">
        <v>112</v>
      </c>
      <c r="B62" s="40" t="s">
        <v>135</v>
      </c>
      <c r="C62" s="40" t="s">
        <v>136</v>
      </c>
      <c r="D62" s="40" t="s">
        <v>122</v>
      </c>
      <c r="E62" s="40">
        <v>0.93</v>
      </c>
      <c r="G62" s="42" t="s">
        <v>123</v>
      </c>
      <c r="H62" s="41" t="s">
        <v>124</v>
      </c>
      <c r="I62" s="40" t="s">
        <v>125</v>
      </c>
    </row>
    <row r="63" spans="1:11" ht="15" customHeight="1">
      <c r="A63" s="32" t="s">
        <v>112</v>
      </c>
      <c r="B63" s="32" t="s">
        <v>135</v>
      </c>
      <c r="C63" s="32" t="s">
        <v>136</v>
      </c>
      <c r="D63" s="32" t="s">
        <v>126</v>
      </c>
      <c r="E63" s="32">
        <v>0</v>
      </c>
      <c r="G63" s="48"/>
      <c r="H63" s="60" t="s">
        <v>139</v>
      </c>
      <c r="I63" s="32" t="s">
        <v>129</v>
      </c>
      <c r="J63" s="32" t="s">
        <v>130</v>
      </c>
    </row>
    <row r="64" spans="1:11" s="40" customFormat="1" ht="43.5">
      <c r="A64" s="40" t="s">
        <v>112</v>
      </c>
      <c r="B64" s="40" t="s">
        <v>140</v>
      </c>
      <c r="C64" s="40" t="s">
        <v>141</v>
      </c>
      <c r="D64" s="40" t="s">
        <v>15</v>
      </c>
      <c r="E64" s="40">
        <v>1</v>
      </c>
      <c r="G64" s="42" t="s">
        <v>115</v>
      </c>
      <c r="H64" s="41" t="s">
        <v>116</v>
      </c>
      <c r="I64" s="40" t="s">
        <v>117</v>
      </c>
    </row>
    <row r="65" spans="1:11" ht="15" customHeight="1">
      <c r="A65" s="32" t="s">
        <v>112</v>
      </c>
      <c r="B65" s="32" t="s">
        <v>140</v>
      </c>
      <c r="C65" s="32" t="s">
        <v>141</v>
      </c>
      <c r="D65" s="32" t="s">
        <v>18</v>
      </c>
      <c r="E65" s="37">
        <v>5.48</v>
      </c>
      <c r="F65" t="s">
        <v>19</v>
      </c>
      <c r="G65" s="49" t="s">
        <v>118</v>
      </c>
      <c r="H65" s="59" t="s">
        <v>84</v>
      </c>
      <c r="I65" s="32" t="s">
        <v>142</v>
      </c>
      <c r="J65" s="32" t="s">
        <v>134</v>
      </c>
      <c r="K65" s="59" t="s">
        <v>22</v>
      </c>
    </row>
    <row r="66" spans="1:11" s="40" customFormat="1" ht="57.75">
      <c r="A66" s="40" t="s">
        <v>112</v>
      </c>
      <c r="B66" s="40" t="s">
        <v>140</v>
      </c>
      <c r="C66" s="40" t="s">
        <v>141</v>
      </c>
      <c r="D66" s="40" t="s">
        <v>122</v>
      </c>
      <c r="E66" s="64">
        <v>0.93</v>
      </c>
      <c r="F66" s="64"/>
      <c r="G66" s="42" t="s">
        <v>123</v>
      </c>
      <c r="H66" s="41" t="s">
        <v>124</v>
      </c>
      <c r="I66" s="40" t="s">
        <v>143</v>
      </c>
    </row>
    <row r="67" spans="1:11" ht="15" customHeight="1">
      <c r="A67" s="32" t="s">
        <v>112</v>
      </c>
      <c r="B67" s="32" t="s">
        <v>140</v>
      </c>
      <c r="C67" s="32" t="s">
        <v>141</v>
      </c>
      <c r="D67" s="32" t="s">
        <v>126</v>
      </c>
      <c r="E67" s="32">
        <v>0</v>
      </c>
      <c r="G67" s="48" t="s">
        <v>127</v>
      </c>
      <c r="H67" s="38" t="s">
        <v>128</v>
      </c>
      <c r="I67" s="32" t="s">
        <v>129</v>
      </c>
      <c r="J67" s="32" t="s">
        <v>130</v>
      </c>
    </row>
    <row r="68" spans="1:11" s="40" customFormat="1" ht="43.5">
      <c r="A68" s="40" t="s">
        <v>112</v>
      </c>
      <c r="B68" s="40" t="s">
        <v>144</v>
      </c>
      <c r="C68" s="40" t="s">
        <v>145</v>
      </c>
      <c r="D68" s="40" t="s">
        <v>15</v>
      </c>
      <c r="E68" s="40">
        <v>1</v>
      </c>
      <c r="G68" s="42" t="s">
        <v>115</v>
      </c>
      <c r="H68" s="41" t="s">
        <v>116</v>
      </c>
      <c r="I68" s="40" t="s">
        <v>117</v>
      </c>
    </row>
    <row r="69" spans="1:11" ht="15" customHeight="1">
      <c r="A69" s="32" t="s">
        <v>112</v>
      </c>
      <c r="B69" s="32" t="s">
        <v>144</v>
      </c>
      <c r="C69" s="32" t="s">
        <v>145</v>
      </c>
      <c r="D69" s="32" t="s">
        <v>18</v>
      </c>
      <c r="E69" s="37">
        <v>5.48</v>
      </c>
      <c r="F69" t="s">
        <v>19</v>
      </c>
      <c r="G69" s="48" t="s">
        <v>118</v>
      </c>
      <c r="H69" s="38" t="s">
        <v>146</v>
      </c>
      <c r="I69" s="32" t="s">
        <v>147</v>
      </c>
      <c r="J69" s="32" t="s">
        <v>134</v>
      </c>
      <c r="K69" s="59" t="s">
        <v>22</v>
      </c>
    </row>
    <row r="70" spans="1:11" s="40" customFormat="1" ht="57.75">
      <c r="A70" s="40" t="s">
        <v>112</v>
      </c>
      <c r="B70" s="40" t="s">
        <v>144</v>
      </c>
      <c r="C70" s="40" t="s">
        <v>145</v>
      </c>
      <c r="D70" s="40" t="s">
        <v>122</v>
      </c>
      <c r="E70" s="40">
        <v>0.93</v>
      </c>
      <c r="G70" s="42" t="s">
        <v>123</v>
      </c>
      <c r="H70" s="41" t="s">
        <v>124</v>
      </c>
      <c r="I70" s="40" t="s">
        <v>143</v>
      </c>
    </row>
    <row r="71" spans="1:11" ht="15" customHeight="1">
      <c r="A71" s="32" t="s">
        <v>112</v>
      </c>
      <c r="B71" s="32" t="s">
        <v>144</v>
      </c>
      <c r="C71" s="32" t="s">
        <v>145</v>
      </c>
      <c r="D71" s="32" t="s">
        <v>126</v>
      </c>
      <c r="E71" s="32">
        <v>0</v>
      </c>
      <c r="G71" s="48" t="s">
        <v>118</v>
      </c>
      <c r="H71" s="38" t="s">
        <v>148</v>
      </c>
      <c r="I71" s="32" t="s">
        <v>149</v>
      </c>
      <c r="J71" s="32" t="s">
        <v>130</v>
      </c>
    </row>
    <row r="72" spans="1:11" s="40" customFormat="1" ht="43.5">
      <c r="A72" s="40" t="s">
        <v>112</v>
      </c>
      <c r="B72" s="40" t="s">
        <v>150</v>
      </c>
      <c r="C72" s="40" t="s">
        <v>151</v>
      </c>
      <c r="D72" s="40" t="s">
        <v>15</v>
      </c>
      <c r="E72" s="40">
        <v>0.99</v>
      </c>
      <c r="G72" s="42" t="s">
        <v>152</v>
      </c>
      <c r="H72" s="43" t="s">
        <v>153</v>
      </c>
      <c r="I72" s="40" t="s">
        <v>154</v>
      </c>
    </row>
    <row r="73" spans="1:11" ht="15" customHeight="1">
      <c r="A73" s="32" t="s">
        <v>112</v>
      </c>
      <c r="B73" s="32" t="s">
        <v>150</v>
      </c>
      <c r="C73" s="32" t="s">
        <v>151</v>
      </c>
      <c r="D73" s="32" t="s">
        <v>18</v>
      </c>
      <c r="E73" s="37">
        <v>2.41</v>
      </c>
      <c r="F73" t="s">
        <v>19</v>
      </c>
      <c r="G73" s="48" t="s">
        <v>155</v>
      </c>
      <c r="H73" s="52" t="s">
        <v>156</v>
      </c>
      <c r="I73" s="32" t="s">
        <v>157</v>
      </c>
      <c r="J73" s="32" t="s">
        <v>158</v>
      </c>
      <c r="K73" s="59" t="s">
        <v>22</v>
      </c>
    </row>
    <row r="74" spans="1:11" s="40" customFormat="1" ht="43.5">
      <c r="A74" s="40" t="s">
        <v>112</v>
      </c>
      <c r="B74" s="40" t="s">
        <v>150</v>
      </c>
      <c r="C74" s="40" t="s">
        <v>151</v>
      </c>
      <c r="D74" s="40" t="s">
        <v>122</v>
      </c>
      <c r="E74" s="40">
        <v>0.89</v>
      </c>
      <c r="G74" s="42" t="s">
        <v>159</v>
      </c>
      <c r="H74" s="41" t="s">
        <v>160</v>
      </c>
      <c r="I74" s="40" t="s">
        <v>161</v>
      </c>
    </row>
    <row r="75" spans="1:11" ht="15" customHeight="1">
      <c r="A75" s="32" t="s">
        <v>112</v>
      </c>
      <c r="B75" s="32" t="s">
        <v>150</v>
      </c>
      <c r="C75" s="32" t="s">
        <v>151</v>
      </c>
      <c r="D75" s="32" t="s">
        <v>126</v>
      </c>
      <c r="E75" s="32">
        <v>0</v>
      </c>
      <c r="G75" s="32" t="s">
        <v>107</v>
      </c>
      <c r="H75" s="35" t="s">
        <v>162</v>
      </c>
      <c r="I75" s="32" t="s">
        <v>149</v>
      </c>
    </row>
    <row r="76" spans="1:11" s="40" customFormat="1" ht="43.5">
      <c r="A76" s="40" t="s">
        <v>112</v>
      </c>
      <c r="B76" s="40" t="s">
        <v>163</v>
      </c>
      <c r="C76" s="40" t="s">
        <v>164</v>
      </c>
      <c r="D76" s="40" t="s">
        <v>15</v>
      </c>
      <c r="E76" s="40">
        <v>0.99</v>
      </c>
      <c r="G76" s="42" t="s">
        <v>152</v>
      </c>
      <c r="H76" s="43" t="s">
        <v>153</v>
      </c>
      <c r="I76" s="40" t="s">
        <v>154</v>
      </c>
    </row>
    <row r="77" spans="1:11" ht="15" customHeight="1">
      <c r="A77" s="32" t="s">
        <v>112</v>
      </c>
      <c r="B77" s="32" t="s">
        <v>163</v>
      </c>
      <c r="C77" s="32" t="s">
        <v>164</v>
      </c>
      <c r="D77" s="32" t="s">
        <v>18</v>
      </c>
      <c r="E77" s="37">
        <v>2.41</v>
      </c>
      <c r="F77" t="s">
        <v>19</v>
      </c>
      <c r="G77" s="59" t="s">
        <v>165</v>
      </c>
      <c r="H77" s="58" t="s">
        <v>165</v>
      </c>
      <c r="I77" s="32" t="s">
        <v>166</v>
      </c>
      <c r="J77" s="32" t="s">
        <v>167</v>
      </c>
      <c r="K77" s="59" t="s">
        <v>22</v>
      </c>
    </row>
    <row r="78" spans="1:11" s="40" customFormat="1" ht="43.5">
      <c r="A78" s="40" t="s">
        <v>112</v>
      </c>
      <c r="B78" s="40" t="s">
        <v>163</v>
      </c>
      <c r="C78" s="40" t="s">
        <v>164</v>
      </c>
      <c r="D78" s="40" t="s">
        <v>122</v>
      </c>
      <c r="E78" s="40">
        <v>0.89</v>
      </c>
      <c r="G78" s="42" t="s">
        <v>159</v>
      </c>
      <c r="H78" s="41" t="s">
        <v>160</v>
      </c>
      <c r="I78" s="40" t="s">
        <v>168</v>
      </c>
    </row>
    <row r="79" spans="1:11" ht="15" customHeight="1">
      <c r="A79" s="32" t="s">
        <v>112</v>
      </c>
      <c r="B79" s="32" t="s">
        <v>163</v>
      </c>
      <c r="C79" s="32" t="s">
        <v>164</v>
      </c>
      <c r="D79" s="32" t="s">
        <v>126</v>
      </c>
      <c r="E79" s="32">
        <v>0</v>
      </c>
      <c r="G79" s="32" t="s">
        <v>107</v>
      </c>
      <c r="H79" s="35" t="s">
        <v>162</v>
      </c>
      <c r="I79" s="32" t="s">
        <v>149</v>
      </c>
    </row>
    <row r="80" spans="1:11" s="40" customFormat="1" ht="87">
      <c r="A80" s="40" t="s">
        <v>112</v>
      </c>
      <c r="B80" s="40" t="s">
        <v>169</v>
      </c>
      <c r="C80" s="40" t="s">
        <v>170</v>
      </c>
      <c r="D80" s="40" t="s">
        <v>15</v>
      </c>
      <c r="E80" s="40">
        <v>0.98</v>
      </c>
      <c r="G80" s="42" t="s">
        <v>171</v>
      </c>
      <c r="H80" s="44" t="s">
        <v>172</v>
      </c>
      <c r="I80" s="40" t="s">
        <v>173</v>
      </c>
    </row>
    <row r="81" spans="1:11" ht="15" customHeight="1">
      <c r="A81" s="32" t="s">
        <v>112</v>
      </c>
      <c r="B81" s="32" t="s">
        <v>169</v>
      </c>
      <c r="C81" s="32" t="s">
        <v>170</v>
      </c>
      <c r="D81" s="32" t="s">
        <v>18</v>
      </c>
      <c r="E81" s="32">
        <v>35.15</v>
      </c>
      <c r="F81" s="32" t="s">
        <v>174</v>
      </c>
      <c r="G81" s="32" t="s">
        <v>107</v>
      </c>
      <c r="H81" s="36" t="s">
        <v>175</v>
      </c>
      <c r="I81" s="32" t="s">
        <v>176</v>
      </c>
      <c r="J81" s="32" t="s">
        <v>177</v>
      </c>
      <c r="K81" s="32" t="s">
        <v>178</v>
      </c>
    </row>
    <row r="82" spans="1:11" s="40" customFormat="1">
      <c r="A82" s="40" t="s">
        <v>112</v>
      </c>
      <c r="B82" s="40" t="s">
        <v>169</v>
      </c>
      <c r="C82" s="40" t="s">
        <v>170</v>
      </c>
      <c r="D82" s="40" t="s">
        <v>122</v>
      </c>
      <c r="E82" s="40">
        <v>0.9</v>
      </c>
      <c r="G82" s="40" t="s">
        <v>179</v>
      </c>
      <c r="H82" s="45" t="s">
        <v>162</v>
      </c>
      <c r="I82" s="40" t="s">
        <v>180</v>
      </c>
      <c r="J82" s="46" t="s">
        <v>181</v>
      </c>
    </row>
    <row r="83" spans="1:11" ht="15" customHeight="1">
      <c r="A83" s="32" t="s">
        <v>112</v>
      </c>
      <c r="B83" s="32" t="s">
        <v>169</v>
      </c>
      <c r="C83" s="32" t="s">
        <v>170</v>
      </c>
      <c r="D83" s="32" t="s">
        <v>126</v>
      </c>
      <c r="E83" s="32">
        <v>3.05</v>
      </c>
      <c r="G83" s="48" t="s">
        <v>182</v>
      </c>
      <c r="H83" s="38" t="s">
        <v>183</v>
      </c>
      <c r="I83" s="32" t="s">
        <v>184</v>
      </c>
      <c r="J83" s="37" t="s">
        <v>185</v>
      </c>
    </row>
    <row r="84" spans="1:11" s="40" customFormat="1" ht="43.5">
      <c r="A84" s="40" t="s">
        <v>112</v>
      </c>
      <c r="B84" s="40" t="s">
        <v>186</v>
      </c>
      <c r="C84" s="40" t="s">
        <v>187</v>
      </c>
      <c r="D84" s="40" t="s">
        <v>15</v>
      </c>
      <c r="E84" s="40">
        <v>1</v>
      </c>
      <c r="G84" s="42" t="s">
        <v>115</v>
      </c>
      <c r="H84" s="41" t="s">
        <v>116</v>
      </c>
      <c r="I84" s="40" t="s">
        <v>117</v>
      </c>
    </row>
    <row r="85" spans="1:11" s="40" customFormat="1">
      <c r="A85" s="40" t="s">
        <v>112</v>
      </c>
      <c r="B85" s="40" t="s">
        <v>186</v>
      </c>
      <c r="C85" s="40" t="s">
        <v>187</v>
      </c>
      <c r="D85" s="40" t="s">
        <v>122</v>
      </c>
      <c r="E85" s="40">
        <v>0.9</v>
      </c>
      <c r="G85" s="40" t="s">
        <v>179</v>
      </c>
      <c r="H85" s="45" t="s">
        <v>162</v>
      </c>
      <c r="I85" s="40" t="s">
        <v>188</v>
      </c>
    </row>
    <row r="86" spans="1:11" ht="15" customHeight="1">
      <c r="A86" s="32" t="s">
        <v>112</v>
      </c>
      <c r="B86" s="32" t="s">
        <v>186</v>
      </c>
      <c r="C86" s="32" t="s">
        <v>187</v>
      </c>
      <c r="D86" s="32" t="s">
        <v>18</v>
      </c>
      <c r="E86" s="32">
        <v>3</v>
      </c>
      <c r="F86" t="s">
        <v>19</v>
      </c>
      <c r="G86" s="48" t="s">
        <v>101</v>
      </c>
      <c r="H86" s="38" t="s">
        <v>102</v>
      </c>
      <c r="I86" s="32" t="s">
        <v>189</v>
      </c>
      <c r="J86" s="37" t="s">
        <v>190</v>
      </c>
    </row>
    <row r="87" spans="1:11" ht="15" customHeight="1">
      <c r="A87" s="32" t="s">
        <v>112</v>
      </c>
      <c r="B87" s="32" t="s">
        <v>186</v>
      </c>
      <c r="C87" s="32" t="s">
        <v>187</v>
      </c>
      <c r="D87" s="32" t="s">
        <v>126</v>
      </c>
      <c r="E87" s="37">
        <v>3.05</v>
      </c>
      <c r="F87" s="37"/>
      <c r="G87" s="48" t="s">
        <v>182</v>
      </c>
      <c r="H87" s="59" t="s">
        <v>84</v>
      </c>
      <c r="I87" s="32" t="s">
        <v>149</v>
      </c>
      <c r="J87" s="37" t="s">
        <v>185</v>
      </c>
      <c r="K87" s="59" t="s">
        <v>22</v>
      </c>
    </row>
    <row r="88" spans="1:11" s="40" customFormat="1" ht="43.5">
      <c r="A88" s="40" t="s">
        <v>112</v>
      </c>
      <c r="B88" s="40" t="s">
        <v>191</v>
      </c>
      <c r="C88" s="40" t="s">
        <v>192</v>
      </c>
      <c r="D88" s="40" t="s">
        <v>15</v>
      </c>
      <c r="E88" s="40">
        <v>1</v>
      </c>
      <c r="G88" s="42" t="s">
        <v>115</v>
      </c>
      <c r="H88" s="41" t="s">
        <v>116</v>
      </c>
      <c r="I88" s="40" t="s">
        <v>117</v>
      </c>
    </row>
    <row r="89" spans="1:11" ht="15" customHeight="1">
      <c r="A89" s="32" t="s">
        <v>112</v>
      </c>
      <c r="B89" s="32" t="s">
        <v>191</v>
      </c>
      <c r="C89" s="32" t="s">
        <v>192</v>
      </c>
      <c r="D89" s="32" t="s">
        <v>18</v>
      </c>
      <c r="E89" s="32">
        <v>3</v>
      </c>
      <c r="F89" t="s">
        <v>19</v>
      </c>
      <c r="G89" s="48" t="s">
        <v>101</v>
      </c>
      <c r="H89" s="38" t="s">
        <v>102</v>
      </c>
      <c r="I89" s="32" t="s">
        <v>193</v>
      </c>
      <c r="J89" s="37" t="s">
        <v>190</v>
      </c>
    </row>
    <row r="90" spans="1:11" s="40" customFormat="1">
      <c r="A90" s="40" t="s">
        <v>112</v>
      </c>
      <c r="B90" s="40" t="s">
        <v>191</v>
      </c>
      <c r="C90" s="40" t="s">
        <v>192</v>
      </c>
      <c r="D90" s="40" t="s">
        <v>122</v>
      </c>
      <c r="E90" s="40">
        <v>0.9</v>
      </c>
      <c r="G90" s="40" t="s">
        <v>179</v>
      </c>
      <c r="H90" s="45" t="s">
        <v>162</v>
      </c>
      <c r="I90" s="40" t="s">
        <v>188</v>
      </c>
    </row>
    <row r="91" spans="1:11" ht="15" customHeight="1">
      <c r="A91" s="32" t="s">
        <v>112</v>
      </c>
      <c r="B91" s="32" t="s">
        <v>191</v>
      </c>
      <c r="C91" s="32" t="s">
        <v>192</v>
      </c>
      <c r="D91" s="32" t="s">
        <v>126</v>
      </c>
      <c r="E91" s="37">
        <v>3.05</v>
      </c>
      <c r="F91" s="37"/>
      <c r="G91" s="48" t="s">
        <v>182</v>
      </c>
      <c r="H91" s="59" t="s">
        <v>84</v>
      </c>
      <c r="I91" s="32" t="s">
        <v>149</v>
      </c>
      <c r="J91" s="37" t="s">
        <v>185</v>
      </c>
      <c r="K91" s="59" t="s">
        <v>22</v>
      </c>
    </row>
    <row r="92" spans="1:11" s="40" customFormat="1">
      <c r="A92" s="40" t="s">
        <v>194</v>
      </c>
      <c r="B92" s="40" t="s">
        <v>195</v>
      </c>
      <c r="C92" s="40" t="s">
        <v>196</v>
      </c>
      <c r="D92" s="40" t="s">
        <v>15</v>
      </c>
      <c r="E92" s="40">
        <v>1</v>
      </c>
      <c r="G92" s="40" t="s">
        <v>197</v>
      </c>
      <c r="H92" s="47" t="s">
        <v>198</v>
      </c>
      <c r="I92" s="32" t="s">
        <v>199</v>
      </c>
    </row>
    <row r="93" spans="1:11" ht="15" customHeight="1">
      <c r="A93" s="32" t="s">
        <v>194</v>
      </c>
      <c r="B93" s="32" t="s">
        <v>195</v>
      </c>
      <c r="C93" s="32" t="s">
        <v>196</v>
      </c>
      <c r="D93" s="32" t="s">
        <v>18</v>
      </c>
      <c r="E93" s="32">
        <v>27.44</v>
      </c>
      <c r="F93" s="32" t="s">
        <v>200</v>
      </c>
      <c r="G93" s="48" t="s">
        <v>201</v>
      </c>
      <c r="H93" s="34" t="s">
        <v>202</v>
      </c>
      <c r="I93" s="37" t="s">
        <v>203</v>
      </c>
      <c r="J93" s="32" t="s">
        <v>204</v>
      </c>
      <c r="K93" s="32" t="s">
        <v>76</v>
      </c>
    </row>
    <row r="94" spans="1:11" s="40" customFormat="1">
      <c r="A94" s="40" t="s">
        <v>194</v>
      </c>
      <c r="B94" s="40" t="s">
        <v>205</v>
      </c>
      <c r="C94" s="40" t="s">
        <v>206</v>
      </c>
      <c r="D94" s="40" t="s">
        <v>15</v>
      </c>
      <c r="E94" s="40">
        <v>0</v>
      </c>
      <c r="G94" s="40" t="s">
        <v>207</v>
      </c>
      <c r="H94" s="39" t="s">
        <v>208</v>
      </c>
      <c r="I94" s="40" t="s">
        <v>209</v>
      </c>
      <c r="J94" s="40" t="s">
        <v>210</v>
      </c>
    </row>
    <row r="95" spans="1:11" ht="15" customHeight="1">
      <c r="A95" s="32" t="s">
        <v>194</v>
      </c>
      <c r="B95" s="32" t="s">
        <v>205</v>
      </c>
      <c r="C95" s="32" t="s">
        <v>206</v>
      </c>
      <c r="D95" s="32" t="s">
        <v>18</v>
      </c>
      <c r="E95" s="32">
        <v>-8.8999999999999996E-2</v>
      </c>
      <c r="F95" s="32" t="s">
        <v>200</v>
      </c>
      <c r="G95" s="48" t="s">
        <v>201</v>
      </c>
      <c r="H95" s="34" t="s">
        <v>211</v>
      </c>
      <c r="I95" s="32" t="s">
        <v>212</v>
      </c>
      <c r="J95" s="32" t="s">
        <v>213</v>
      </c>
      <c r="K95" s="32" t="s">
        <v>76</v>
      </c>
    </row>
    <row r="96" spans="1:11" s="40" customFormat="1">
      <c r="A96" s="40" t="s">
        <v>194</v>
      </c>
      <c r="B96" s="40" t="s">
        <v>214</v>
      </c>
      <c r="C96" s="40" t="s">
        <v>215</v>
      </c>
      <c r="D96" s="40" t="s">
        <v>15</v>
      </c>
      <c r="E96" s="40">
        <v>0.31</v>
      </c>
      <c r="G96" s="40" t="s">
        <v>207</v>
      </c>
      <c r="H96" s="39" t="s">
        <v>208</v>
      </c>
      <c r="I96" s="40" t="s">
        <v>216</v>
      </c>
    </row>
    <row r="97" spans="1:11" ht="15" customHeight="1">
      <c r="A97" s="32" t="s">
        <v>194</v>
      </c>
      <c r="B97" s="32" t="s">
        <v>214</v>
      </c>
      <c r="C97" s="32" t="s">
        <v>215</v>
      </c>
      <c r="D97" s="32" t="s">
        <v>18</v>
      </c>
      <c r="E97" s="32">
        <v>-0.17100000000000001</v>
      </c>
      <c r="F97" s="32" t="s">
        <v>200</v>
      </c>
      <c r="G97" s="48" t="s">
        <v>201</v>
      </c>
      <c r="H97" s="34" t="s">
        <v>217</v>
      </c>
      <c r="I97" s="32" t="s">
        <v>218</v>
      </c>
      <c r="J97" s="32" t="s">
        <v>219</v>
      </c>
      <c r="K97" s="32" t="s">
        <v>76</v>
      </c>
    </row>
    <row r="98" spans="1:11" s="40" customFormat="1">
      <c r="A98" s="40" t="s">
        <v>194</v>
      </c>
      <c r="B98" s="40" t="s">
        <v>220</v>
      </c>
      <c r="C98" s="40" t="s">
        <v>221</v>
      </c>
      <c r="D98" s="40" t="s">
        <v>15</v>
      </c>
      <c r="E98" s="40">
        <v>0.4</v>
      </c>
      <c r="G98" s="40" t="s">
        <v>207</v>
      </c>
      <c r="H98" s="54" t="s">
        <v>45</v>
      </c>
      <c r="I98" s="40" t="s">
        <v>216</v>
      </c>
    </row>
    <row r="99" spans="1:11" ht="15" customHeight="1">
      <c r="A99" s="32" t="s">
        <v>194</v>
      </c>
      <c r="B99" s="32" t="s">
        <v>220</v>
      </c>
      <c r="C99" s="32" t="s">
        <v>221</v>
      </c>
      <c r="D99" s="32" t="s">
        <v>18</v>
      </c>
      <c r="E99" s="32">
        <v>-0.245</v>
      </c>
      <c r="F99" s="32" t="s">
        <v>200</v>
      </c>
      <c r="G99" s="48" t="s">
        <v>201</v>
      </c>
      <c r="H99" s="34" t="s">
        <v>222</v>
      </c>
      <c r="I99" s="32" t="s">
        <v>218</v>
      </c>
      <c r="J99" s="32" t="s">
        <v>223</v>
      </c>
      <c r="K99" s="32" t="s">
        <v>76</v>
      </c>
    </row>
    <row r="100" spans="1:11" s="40" customFormat="1" ht="15.75">
      <c r="A100" s="40" t="s">
        <v>194</v>
      </c>
      <c r="B100" s="40" t="s">
        <v>224</v>
      </c>
      <c r="C100" s="40" t="s">
        <v>225</v>
      </c>
      <c r="D100" s="40" t="s">
        <v>15</v>
      </c>
      <c r="E100" s="40">
        <v>0.41</v>
      </c>
      <c r="G100" s="40" t="s">
        <v>207</v>
      </c>
      <c r="H100" s="61" t="s">
        <v>208</v>
      </c>
      <c r="I100" s="40" t="s">
        <v>216</v>
      </c>
    </row>
    <row r="101" spans="1:11" ht="15" customHeight="1">
      <c r="A101" s="32" t="s">
        <v>194</v>
      </c>
      <c r="B101" s="32" t="s">
        <v>224</v>
      </c>
      <c r="C101" s="32" t="s">
        <v>225</v>
      </c>
      <c r="D101" s="32" t="s">
        <v>18</v>
      </c>
      <c r="E101" s="32">
        <v>-0.114</v>
      </c>
      <c r="F101" s="32" t="s">
        <v>200</v>
      </c>
      <c r="G101" s="48" t="s">
        <v>201</v>
      </c>
      <c r="H101" s="34" t="s">
        <v>226</v>
      </c>
      <c r="I101" s="32" t="s">
        <v>218</v>
      </c>
      <c r="J101" s="32" t="s">
        <v>227</v>
      </c>
      <c r="K101" s="32" t="s">
        <v>76</v>
      </c>
    </row>
    <row r="102" spans="1:11" ht="15" customHeight="1">
      <c r="A102" s="32" t="s">
        <v>194</v>
      </c>
      <c r="B102" t="s">
        <v>228</v>
      </c>
      <c r="C102" t="s">
        <v>229</v>
      </c>
      <c r="D102" s="40" t="s">
        <v>15</v>
      </c>
      <c r="E102" s="32">
        <v>0.01</v>
      </c>
      <c r="F102" s="32" t="s">
        <v>230</v>
      </c>
      <c r="G102" s="48" t="s">
        <v>231</v>
      </c>
      <c r="H102" s="34" t="s">
        <v>232</v>
      </c>
    </row>
    <row r="103" spans="1:11" ht="15" customHeight="1">
      <c r="A103" s="32" t="s">
        <v>194</v>
      </c>
      <c r="B103" t="s">
        <v>228</v>
      </c>
      <c r="C103" t="s">
        <v>229</v>
      </c>
      <c r="D103" s="32" t="s">
        <v>18</v>
      </c>
      <c r="E103" s="32">
        <v>-6.5000000000000002E-2</v>
      </c>
      <c r="F103" s="32" t="s">
        <v>233</v>
      </c>
      <c r="G103" s="48"/>
      <c r="H103" s="45" t="s">
        <v>234</v>
      </c>
    </row>
    <row r="104" spans="1:11" s="40" customFormat="1" ht="72.75">
      <c r="A104" s="40" t="s">
        <v>235</v>
      </c>
      <c r="B104" s="40" t="s">
        <v>236</v>
      </c>
      <c r="C104" s="40" t="s">
        <v>237</v>
      </c>
      <c r="D104" s="40" t="s">
        <v>15</v>
      </c>
      <c r="E104" s="40">
        <v>0.51</v>
      </c>
      <c r="G104" s="40" t="s">
        <v>238</v>
      </c>
      <c r="H104" s="53" t="s">
        <v>239</v>
      </c>
      <c r="I104" s="40" t="s">
        <v>240</v>
      </c>
    </row>
    <row r="105" spans="1:11" ht="15" customHeight="1">
      <c r="A105" s="32" t="s">
        <v>235</v>
      </c>
      <c r="B105" s="32" t="s">
        <v>236</v>
      </c>
      <c r="C105" s="32" t="s">
        <v>237</v>
      </c>
      <c r="D105" s="32" t="s">
        <v>18</v>
      </c>
      <c r="E105" s="32">
        <v>2.5</v>
      </c>
      <c r="F105" s="32" t="s">
        <v>241</v>
      </c>
      <c r="G105" s="59" t="s">
        <v>242</v>
      </c>
      <c r="H105" s="61" t="s">
        <v>243</v>
      </c>
      <c r="I105" s="32" t="s">
        <v>244</v>
      </c>
      <c r="J105" s="32" t="s">
        <v>245</v>
      </c>
      <c r="K105" s="32" t="s">
        <v>76</v>
      </c>
    </row>
    <row r="106" spans="1:11" s="40" customFormat="1" ht="29.25">
      <c r="A106" s="40" t="s">
        <v>235</v>
      </c>
      <c r="B106" s="40" t="s">
        <v>246</v>
      </c>
      <c r="C106" s="40" t="s">
        <v>247</v>
      </c>
      <c r="D106" s="40" t="s">
        <v>15</v>
      </c>
      <c r="E106" s="40">
        <v>0.1</v>
      </c>
      <c r="G106" s="40" t="s">
        <v>45</v>
      </c>
      <c r="H106" s="39" t="s">
        <v>248</v>
      </c>
      <c r="I106" s="40" t="s">
        <v>249</v>
      </c>
    </row>
    <row r="107" spans="1:11" ht="15" customHeight="1">
      <c r="A107" s="32" t="s">
        <v>235</v>
      </c>
      <c r="B107" s="32" t="s">
        <v>246</v>
      </c>
      <c r="C107" s="32" t="s">
        <v>247</v>
      </c>
      <c r="D107" s="32" t="s">
        <v>18</v>
      </c>
      <c r="E107" s="32">
        <v>17</v>
      </c>
      <c r="F107" s="32" t="s">
        <v>250</v>
      </c>
      <c r="G107" s="48" t="s">
        <v>251</v>
      </c>
      <c r="H107" s="38" t="s">
        <v>252</v>
      </c>
      <c r="I107" s="32" t="s">
        <v>253</v>
      </c>
      <c r="J107" s="32" t="s">
        <v>254</v>
      </c>
      <c r="K107" s="32" t="s">
        <v>255</v>
      </c>
    </row>
    <row r="108" spans="1:11" s="40" customFormat="1" ht="29.25">
      <c r="A108" s="40" t="s">
        <v>235</v>
      </c>
      <c r="B108" s="40" t="s">
        <v>256</v>
      </c>
      <c r="C108" s="40" t="s">
        <v>257</v>
      </c>
      <c r="D108" s="40" t="s">
        <v>15</v>
      </c>
      <c r="E108" s="40">
        <v>0.13</v>
      </c>
      <c r="G108" s="40" t="s">
        <v>107</v>
      </c>
      <c r="H108" s="55" t="s">
        <v>258</v>
      </c>
      <c r="I108" s="40" t="s">
        <v>259</v>
      </c>
      <c r="J108" s="46" t="s">
        <v>260</v>
      </c>
    </row>
    <row r="109" spans="1:11" ht="15" customHeight="1">
      <c r="A109" s="32" t="s">
        <v>235</v>
      </c>
      <c r="B109" s="32" t="s">
        <v>256</v>
      </c>
      <c r="C109" s="32" t="s">
        <v>257</v>
      </c>
      <c r="D109" s="32" t="s">
        <v>18</v>
      </c>
      <c r="E109" s="32">
        <v>27.44</v>
      </c>
      <c r="F109" s="32" t="s">
        <v>200</v>
      </c>
      <c r="G109" s="48" t="s">
        <v>201</v>
      </c>
      <c r="H109" s="34" t="s">
        <v>202</v>
      </c>
      <c r="I109" s="32" t="s">
        <v>261</v>
      </c>
      <c r="J109" s="32" t="s">
        <v>262</v>
      </c>
      <c r="K109" s="32" t="s">
        <v>76</v>
      </c>
    </row>
    <row r="110" spans="1:11" s="40" customFormat="1">
      <c r="A110" s="40" t="s">
        <v>235</v>
      </c>
      <c r="B110" s="40" t="s">
        <v>263</v>
      </c>
      <c r="C110" s="40" t="s">
        <v>264</v>
      </c>
      <c r="D110" s="40" t="s">
        <v>15</v>
      </c>
      <c r="E110" s="40">
        <v>0.13</v>
      </c>
      <c r="G110" s="40" t="s">
        <v>107</v>
      </c>
      <c r="H110" s="55" t="s">
        <v>265</v>
      </c>
      <c r="I110" s="40" t="s">
        <v>259</v>
      </c>
      <c r="J110" s="46" t="s">
        <v>266</v>
      </c>
    </row>
    <row r="111" spans="1:11" ht="15" customHeight="1">
      <c r="A111" s="32" t="s">
        <v>235</v>
      </c>
      <c r="B111" s="32" t="s">
        <v>263</v>
      </c>
      <c r="C111" s="32" t="s">
        <v>264</v>
      </c>
      <c r="D111" s="32" t="s">
        <v>18</v>
      </c>
      <c r="E111" s="32">
        <v>27.44</v>
      </c>
      <c r="F111" s="32" t="s">
        <v>200</v>
      </c>
      <c r="G111" s="48" t="s">
        <v>201</v>
      </c>
      <c r="H111" s="34" t="s">
        <v>202</v>
      </c>
      <c r="I111" s="32" t="s">
        <v>261</v>
      </c>
      <c r="J111" s="32" t="s">
        <v>267</v>
      </c>
      <c r="K111" s="32" t="s">
        <v>76</v>
      </c>
    </row>
    <row r="112" spans="1:11" s="40" customFormat="1" ht="29.25">
      <c r="A112" s="40" t="s">
        <v>268</v>
      </c>
      <c r="B112" s="40" t="s">
        <v>269</v>
      </c>
      <c r="C112" s="40" t="s">
        <v>270</v>
      </c>
      <c r="D112" s="40" t="s">
        <v>15</v>
      </c>
      <c r="E112" s="40">
        <v>1</v>
      </c>
      <c r="G112" s="40" t="s">
        <v>197</v>
      </c>
      <c r="H112" s="41" t="s">
        <v>271</v>
      </c>
      <c r="I112" s="40" t="s">
        <v>272</v>
      </c>
    </row>
    <row r="113" spans="1:11" ht="15" customHeight="1">
      <c r="A113" s="32" t="s">
        <v>268</v>
      </c>
      <c r="B113" s="32" t="s">
        <v>269</v>
      </c>
      <c r="C113" s="32" t="s">
        <v>270</v>
      </c>
      <c r="D113" s="32" t="s">
        <v>18</v>
      </c>
      <c r="E113" s="32">
        <f>6.17+0.93</f>
        <v>7.1</v>
      </c>
      <c r="F113" s="32" t="s">
        <v>273</v>
      </c>
      <c r="G113" s="32" t="s">
        <v>107</v>
      </c>
      <c r="H113" s="39" t="s">
        <v>274</v>
      </c>
      <c r="I113" s="32" t="s">
        <v>275</v>
      </c>
      <c r="J113" s="32" t="s">
        <v>276</v>
      </c>
      <c r="K113" s="32" t="s">
        <v>76</v>
      </c>
    </row>
    <row r="114" spans="1:11" s="40" customFormat="1" ht="130.5">
      <c r="A114" s="40" t="s">
        <v>268</v>
      </c>
      <c r="B114" s="40" t="s">
        <v>277</v>
      </c>
      <c r="C114" s="40" t="s">
        <v>278</v>
      </c>
      <c r="D114" s="40" t="s">
        <v>15</v>
      </c>
      <c r="E114" s="40">
        <v>0.24</v>
      </c>
      <c r="G114" s="42" t="s">
        <v>279</v>
      </c>
      <c r="H114" s="41" t="s">
        <v>280</v>
      </c>
      <c r="I114" s="40" t="s">
        <v>281</v>
      </c>
      <c r="J114" s="42" t="s">
        <v>282</v>
      </c>
    </row>
    <row r="115" spans="1:11" ht="15" customHeight="1">
      <c r="A115" s="32" t="s">
        <v>268</v>
      </c>
      <c r="B115" s="32" t="s">
        <v>277</v>
      </c>
      <c r="C115" s="32" t="s">
        <v>278</v>
      </c>
      <c r="D115" s="32" t="s">
        <v>18</v>
      </c>
      <c r="E115" s="32">
        <v>45.12</v>
      </c>
      <c r="F115" s="32" t="s">
        <v>273</v>
      </c>
      <c r="G115" s="32" t="s">
        <v>107</v>
      </c>
      <c r="H115" s="39" t="s">
        <v>274</v>
      </c>
      <c r="I115" s="32" t="s">
        <v>283</v>
      </c>
      <c r="J115" s="32" t="s">
        <v>284</v>
      </c>
      <c r="K115" s="32" t="s">
        <v>76</v>
      </c>
    </row>
  </sheetData>
  <autoFilter ref="A2:J115" xr:uid="{D95401F5-DDCC-A94D-8738-824C64E129EB}"/>
  <mergeCells count="1">
    <mergeCell ref="A1:J1"/>
  </mergeCells>
  <hyperlinks>
    <hyperlink ref="H96" r:id="rId1" xr:uid="{5350C5DC-E870-4643-BC94-6970B09E6DB0}"/>
    <hyperlink ref="H94" r:id="rId2" xr:uid="{F53D16D8-F8FE-4436-ACEF-295A872C0C03}"/>
    <hyperlink ref="H100" r:id="rId3" xr:uid="{DBACAC53-FE4C-44F2-8E6A-611776AD12B8}"/>
    <hyperlink ref="G43" r:id="rId4" xr:uid="{343D44AF-FA35-4EAE-BAB0-9F968E6CAB9D}"/>
    <hyperlink ref="G45" r:id="rId5" xr:uid="{9BF3BD86-D9DF-4470-9AD1-B83F431E6E3E}"/>
    <hyperlink ref="G78" r:id="rId6" xr:uid="{433856A3-6E40-4BA8-838E-DB45AB2E55D4}"/>
    <hyperlink ref="G74" r:id="rId7" xr:uid="{55E64DA8-FF99-4B4A-BFA2-6A414B2A9F9D}"/>
    <hyperlink ref="G54" r:id="rId8" xr:uid="{DC76DC64-FBA7-4557-AB7F-871CFC3A410D}"/>
    <hyperlink ref="G58" r:id="rId9" xr:uid="{A27729EA-4CA6-4D8F-9FE5-0FFFB3DC9A51}"/>
    <hyperlink ref="G62" r:id="rId10" xr:uid="{B022A07A-62B0-47E6-A892-01253E5B0E3C}"/>
    <hyperlink ref="G66" r:id="rId11" xr:uid="{FFA72D1A-BC88-4523-B4B8-D7254C9ACF79}"/>
    <hyperlink ref="G70" r:id="rId12" xr:uid="{1EDC8A6E-8B38-4566-A397-BF128E0B99AC}"/>
    <hyperlink ref="G52" r:id="rId13" xr:uid="{F181695D-B3C5-495E-AE84-EF2E82CEB082}"/>
    <hyperlink ref="G56" r:id="rId14" xr:uid="{D1B1DF73-B739-4B79-8E1D-1851E545FB84}"/>
    <hyperlink ref="G60" r:id="rId15" xr:uid="{065772B9-2B70-4821-A96B-5482FDC2B8FD}"/>
    <hyperlink ref="G64" r:id="rId16" xr:uid="{720EE3E1-ECD2-45EC-B833-8F9E4F6DA873}"/>
    <hyperlink ref="G68" r:id="rId17" xr:uid="{52231A0C-57C2-46CB-A460-127AB457E35A}"/>
    <hyperlink ref="G114" r:id="rId18" location="APPNEJMoa1615822SUP" xr:uid="{43BBAB7D-3039-4265-B9D0-FAE423CA5C23}"/>
    <hyperlink ref="J114" r:id="rId19" location="APPNEJMoa1615822SUP and https://pmc.ncbi.nlm.nih.gov/articles/PMC12286912/#sec1" xr:uid="{BA6350D5-6547-475F-A0C4-5A5A02877C25}"/>
    <hyperlink ref="G84" r:id="rId20" xr:uid="{5D66E3CA-986F-43D9-9F56-013FCA38F118}"/>
    <hyperlink ref="G88" r:id="rId21" xr:uid="{1D54323A-5B6B-4828-B2A6-1FB1845CD93E}"/>
    <hyperlink ref="G47" r:id="rId22" xr:uid="{BC64ED41-454E-41FB-874A-3CA5DE95622E}"/>
    <hyperlink ref="G49" r:id="rId23" xr:uid="{CA3D9D39-0B0D-46C0-8FE1-87C2E05C2F69}"/>
    <hyperlink ref="G72" r:id="rId24" xr:uid="{7EB98F88-A1E3-42A4-91E5-CD5C8A9613C2}"/>
    <hyperlink ref="G76" r:id="rId25" xr:uid="{04106FBF-7DA9-4F76-BF95-1327D6D508D2}"/>
    <hyperlink ref="G80" r:id="rId26" xr:uid="{62BD3434-14CD-41C0-9F1D-00C72CF8FA7B}"/>
    <hyperlink ref="H104" r:id="rId27" display="https://pmc.ncbi.nlm.nih.gov/articles/PMC12777189/" xr:uid="{F06C583C-377D-4A88-A339-1E10554533FE}"/>
    <hyperlink ref="H115" r:id="rId28" display="Global Fund PPM ARV RDT Pricing (Q4 2025)" xr:uid="{9471B552-6F76-4FC0-8D97-C23E9C277DB7}"/>
    <hyperlink ref="H113" r:id="rId29" display="Global Fund PPM ARV RDT Pricing (Q4 2025)" xr:uid="{FE596BC2-3997-4E9C-AD58-BAB8CE4141E8}"/>
    <hyperlink ref="G42" r:id="rId30" xr:uid="{14C19916-2BAF-4C97-A38C-2640AE630240}"/>
    <hyperlink ref="G44" r:id="rId31" xr:uid="{2B3E58B0-251C-4357-97E8-01D3C27E94B6}"/>
    <hyperlink ref="G48" r:id="rId32" xr:uid="{014DE6C8-B8C3-4601-989A-73BCBEC615B4}"/>
    <hyperlink ref="G50" r:id="rId33" xr:uid="{E6414477-3946-46B1-9214-BBAB2D6408F3}"/>
    <hyperlink ref="G86" r:id="rId34" xr:uid="{2314AC5F-C07A-465A-BC35-A5E3CB131A43}"/>
    <hyperlink ref="G89" r:id="rId35" xr:uid="{87E7E901-C3CB-4F93-8B27-E96A3871B0F5}"/>
    <hyperlink ref="G93" r:id="rId36" xr:uid="{B1E18C24-E47B-451E-8C39-195B8E0356A0}"/>
    <hyperlink ref="G95" r:id="rId37" xr:uid="{AFA0E32D-8DE8-48DA-90FB-07B3074082EE}"/>
    <hyperlink ref="G97" r:id="rId38" xr:uid="{A10A3F96-14DE-4869-86C3-47121D6ED200}"/>
    <hyperlink ref="G99" r:id="rId39" xr:uid="{B1D36B1E-7028-4651-860E-BA7E5AB67F14}"/>
    <hyperlink ref="G101" r:id="rId40" xr:uid="{2DAA9EDA-C807-4149-A166-071A8144B647}"/>
    <hyperlink ref="G109" r:id="rId41" xr:uid="{A79B6169-809D-426E-B123-14FE18BF546E}"/>
    <hyperlink ref="G111" r:id="rId42" xr:uid="{2749B4C5-51B8-4D75-A3A4-61B3705488D7}"/>
    <hyperlink ref="G83" r:id="rId43" xr:uid="{97AF7DFA-D400-4CB2-93AE-C20A9B46766C}"/>
    <hyperlink ref="G107" r:id="rId44" xr:uid="{B36F1B7E-1D98-4CD9-9A9A-004BBA4A08AA}"/>
    <hyperlink ref="G73" r:id="rId45" xr:uid="{C7792074-727F-403C-9821-58FDAB9BA133}"/>
    <hyperlink ref="G57" r:id="rId46" xr:uid="{58BD0832-92F6-4404-A39F-B1696BC26554}"/>
    <hyperlink ref="G65" r:id="rId47" xr:uid="{C21957B6-3EE3-4567-AE9D-40C1A86DAAB1}"/>
    <hyperlink ref="G61" r:id="rId48" xr:uid="{4DEA24BF-EDDD-4782-BCF0-84F52DE6A0C0}"/>
    <hyperlink ref="G53" r:id="rId49" xr:uid="{DE2F920C-E2B2-49B0-9FF4-52709B6D9B5A}"/>
    <hyperlink ref="G87" r:id="rId50" xr:uid="{6734AEF9-0B44-467F-8FD5-E919CC7782A4}"/>
    <hyperlink ref="G91" r:id="rId51" xr:uid="{6D72A801-133D-4956-88E6-8B793629C691}"/>
    <hyperlink ref="G55" r:id="rId52" xr:uid="{4104CF52-2241-4CEC-A82B-7E140BCD4F17}"/>
    <hyperlink ref="G59" r:id="rId53" xr:uid="{DDA4D191-A456-4FFD-B1F4-7854AA249096}"/>
    <hyperlink ref="G67" r:id="rId54" xr:uid="{E013BAC2-9305-42B4-814B-80D2F68D2243}"/>
    <hyperlink ref="G71" r:id="rId55" xr:uid="{C7B067FA-334D-4867-B48F-E51CC71AFE49}"/>
    <hyperlink ref="H77" r:id="rId56" xr:uid="{E4AC79A4-5E90-4A84-B3AD-21BAC237A98B}"/>
    <hyperlink ref="G69" r:id="rId57" xr:uid="{D3736BCC-EC53-4CF6-94D5-D7999BCA286E}"/>
    <hyperlink ref="H63" r:id="rId58" location="sec025" display="https://journals.plos.org/plosmedicine/article?id=10.1371/journal.pmed.1004270#sec025" xr:uid="{222FEF2D-824C-4FF1-AD3C-36AE09CEF93C}"/>
    <hyperlink ref="H61" r:id="rId59" location="sec025" xr:uid="{44D2A37C-5C68-4781-B605-C70A90F60DA8}"/>
    <hyperlink ref="H49" r:id="rId60" xr:uid="{68D0881D-02D1-4156-A909-E9178EA14094}"/>
    <hyperlink ref="G22" r:id="rId61" xr:uid="{BEDC76F4-ED18-45E5-9826-30DA4E44D121}"/>
    <hyperlink ref="G27" r:id="rId62" xr:uid="{504AA23E-8479-42E4-962A-D6704DF530D0}"/>
    <hyperlink ref="G32" r:id="rId63" xr:uid="{FB3D0F6E-A160-439A-A9E0-FB9B014889F7}"/>
    <hyperlink ref="G37" r:id="rId64" xr:uid="{D73270D9-07FD-4C26-98B0-E8AC3A2A76B8}"/>
    <hyperlink ref="G102" r:id="rId65" xr:uid="{29F465F6-4BAD-4876-9DAB-DF2366AD86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888CB-3061-45FA-97BA-86974F96ECBD}">
  <dimension ref="A1:G58"/>
  <sheetViews>
    <sheetView workbookViewId="0">
      <selection activeCell="C55" sqref="C55:C58"/>
    </sheetView>
  </sheetViews>
  <sheetFormatPr defaultRowHeight="15.75"/>
  <cols>
    <col min="1" max="1" width="31.5" customWidth="1"/>
    <col min="3" max="3" width="43.75" customWidth="1"/>
    <col min="4" max="4" width="89.875" style="19" customWidth="1"/>
  </cols>
  <sheetData>
    <row r="1" spans="1:7">
      <c r="A1" s="7" t="s">
        <v>285</v>
      </c>
      <c r="B1" s="8" t="s">
        <v>286</v>
      </c>
      <c r="C1" s="8" t="s">
        <v>287</v>
      </c>
      <c r="D1" s="15" t="s">
        <v>288</v>
      </c>
    </row>
    <row r="2" spans="1:7" ht="30.75">
      <c r="A2" s="9" t="s">
        <v>289</v>
      </c>
      <c r="B2" s="56">
        <v>1.44E-2</v>
      </c>
      <c r="C2" s="10" t="s">
        <v>290</v>
      </c>
      <c r="D2" s="16" t="s">
        <v>291</v>
      </c>
    </row>
    <row r="3" spans="1:7">
      <c r="A3" s="9" t="s">
        <v>292</v>
      </c>
      <c r="B3" s="57">
        <v>7.1999999999999998E-3</v>
      </c>
      <c r="C3" s="10" t="s">
        <v>293</v>
      </c>
      <c r="D3" s="14" t="s">
        <v>294</v>
      </c>
    </row>
    <row r="4" spans="1:7">
      <c r="A4" s="9" t="s">
        <v>295</v>
      </c>
      <c r="B4" s="57">
        <v>6.1200000000000004E-3</v>
      </c>
      <c r="C4" s="10" t="s">
        <v>296</v>
      </c>
      <c r="D4" s="31" t="s">
        <v>297</v>
      </c>
    </row>
    <row r="5" spans="1:7">
      <c r="A5" s="9" t="s">
        <v>298</v>
      </c>
      <c r="B5" s="57">
        <v>6.1200000000000004E-3</v>
      </c>
      <c r="C5" s="10" t="s">
        <v>299</v>
      </c>
      <c r="D5" s="31" t="s">
        <v>297</v>
      </c>
      <c r="E5" s="31"/>
      <c r="F5" s="31"/>
      <c r="G5" s="31"/>
    </row>
    <row r="6" spans="1:7">
      <c r="A6" s="9" t="s">
        <v>300</v>
      </c>
      <c r="B6">
        <v>0.17279999999999998</v>
      </c>
      <c r="C6" s="10"/>
      <c r="D6" t="s">
        <v>301</v>
      </c>
    </row>
    <row r="7" spans="1:7">
      <c r="A7" t="s">
        <v>302</v>
      </c>
      <c r="B7">
        <v>3.3599999999999998E-2</v>
      </c>
      <c r="C7" s="10"/>
      <c r="D7" s="14" t="s">
        <v>303</v>
      </c>
    </row>
    <row r="8" spans="1:7" s="2" customFormat="1">
      <c r="A8" s="9" t="s">
        <v>304</v>
      </c>
      <c r="B8" s="57">
        <v>0.30480000000000002</v>
      </c>
      <c r="C8" s="10" t="s">
        <v>305</v>
      </c>
      <c r="D8" s="14" t="s">
        <v>306</v>
      </c>
    </row>
    <row r="9" spans="1:7">
      <c r="A9" s="9" t="s">
        <v>307</v>
      </c>
      <c r="B9" s="22">
        <v>0.154</v>
      </c>
      <c r="C9" s="10" t="s">
        <v>308</v>
      </c>
      <c r="D9" s="77" t="s">
        <v>309</v>
      </c>
    </row>
    <row r="10" spans="1:7">
      <c r="A10" s="9" t="s">
        <v>310</v>
      </c>
      <c r="B10" s="4">
        <v>0.20899999999999999</v>
      </c>
      <c r="C10" s="10" t="s">
        <v>311</v>
      </c>
      <c r="D10" s="78"/>
    </row>
    <row r="11" spans="1:7">
      <c r="A11" s="9" t="s">
        <v>312</v>
      </c>
      <c r="B11" s="4">
        <v>0.20899999999999999</v>
      </c>
      <c r="C11" s="10" t="s">
        <v>313</v>
      </c>
      <c r="D11" s="78"/>
    </row>
    <row r="12" spans="1:7">
      <c r="A12" s="9" t="s">
        <v>314</v>
      </c>
      <c r="B12" s="4">
        <v>0.29499999999999998</v>
      </c>
      <c r="C12" s="10" t="s">
        <v>315</v>
      </c>
      <c r="D12" s="78"/>
    </row>
    <row r="13" spans="1:7">
      <c r="A13" s="9" t="s">
        <v>316</v>
      </c>
      <c r="B13" s="4">
        <v>4.2999999999999997E-2</v>
      </c>
      <c r="C13" s="10" t="s">
        <v>317</v>
      </c>
      <c r="D13" s="79"/>
    </row>
    <row r="14" spans="1:7" ht="46.5" customHeight="1">
      <c r="A14" s="9" t="s">
        <v>318</v>
      </c>
      <c r="B14" s="4">
        <v>4.3999999999999997E-2</v>
      </c>
      <c r="C14" s="10" t="s">
        <v>319</v>
      </c>
      <c r="D14" s="73" t="s">
        <v>320</v>
      </c>
      <c r="E14" s="27" t="s">
        <v>321</v>
      </c>
    </row>
    <row r="15" spans="1:7" ht="30.75" customHeight="1">
      <c r="A15" s="9" t="s">
        <v>322</v>
      </c>
      <c r="B15" s="4">
        <f>0.14</f>
        <v>0.14000000000000001</v>
      </c>
      <c r="C15" s="10" t="s">
        <v>323</v>
      </c>
      <c r="D15" s="74"/>
      <c r="E15" s="28" t="s">
        <v>324</v>
      </c>
    </row>
    <row r="16" spans="1:7" ht="61.5">
      <c r="A16" s="9" t="s">
        <v>325</v>
      </c>
      <c r="B16" s="4">
        <v>0</v>
      </c>
      <c r="C16" s="10" t="s">
        <v>326</v>
      </c>
      <c r="D16" s="23" t="s">
        <v>327</v>
      </c>
    </row>
    <row r="17" spans="1:5" ht="30.75">
      <c r="A17" s="9" t="s">
        <v>328</v>
      </c>
      <c r="B17" s="4">
        <v>0.41</v>
      </c>
      <c r="C17" s="10" t="s">
        <v>329</v>
      </c>
      <c r="D17" s="6" t="s">
        <v>330</v>
      </c>
    </row>
    <row r="18" spans="1:5" ht="30.75">
      <c r="A18" s="9" t="s">
        <v>331</v>
      </c>
      <c r="B18" s="4">
        <v>0.02</v>
      </c>
      <c r="C18" s="10" t="s">
        <v>332</v>
      </c>
      <c r="D18" s="17" t="s">
        <v>333</v>
      </c>
    </row>
    <row r="19" spans="1:5" ht="30.75">
      <c r="A19" s="9" t="s">
        <v>334</v>
      </c>
      <c r="B19" s="4">
        <v>0.14000000000000001</v>
      </c>
      <c r="C19" s="10" t="s">
        <v>335</v>
      </c>
      <c r="D19" s="17" t="s">
        <v>336</v>
      </c>
    </row>
    <row r="20" spans="1:5" ht="30.75">
      <c r="A20" s="9" t="s">
        <v>337</v>
      </c>
      <c r="B20" s="4">
        <v>0.3</v>
      </c>
      <c r="C20" s="10" t="s">
        <v>338</v>
      </c>
      <c r="D20" s="17" t="s">
        <v>339</v>
      </c>
    </row>
    <row r="21" spans="1:5" ht="61.5">
      <c r="A21" s="9" t="s">
        <v>340</v>
      </c>
      <c r="B21" s="4">
        <v>0.3</v>
      </c>
      <c r="C21" s="10" t="s">
        <v>341</v>
      </c>
      <c r="D21" s="21" t="s">
        <v>342</v>
      </c>
    </row>
    <row r="22" spans="1:5" ht="53.25" customHeight="1">
      <c r="A22" s="9" t="s">
        <v>343</v>
      </c>
      <c r="B22" s="4">
        <v>0.06</v>
      </c>
      <c r="C22" s="10" t="s">
        <v>344</v>
      </c>
      <c r="D22" s="20" t="s">
        <v>345</v>
      </c>
    </row>
    <row r="23" spans="1:5" ht="30.75">
      <c r="A23" s="9" t="s">
        <v>346</v>
      </c>
      <c r="B23" s="4">
        <v>0.03</v>
      </c>
      <c r="C23" s="10" t="s">
        <v>347</v>
      </c>
      <c r="D23" s="21" t="s">
        <v>348</v>
      </c>
    </row>
    <row r="24" spans="1:5" ht="126.75" customHeight="1">
      <c r="A24" s="9" t="s">
        <v>349</v>
      </c>
      <c r="B24" s="4">
        <v>500</v>
      </c>
      <c r="C24" s="10" t="s">
        <v>350</v>
      </c>
      <c r="D24" s="26" t="s">
        <v>351</v>
      </c>
    </row>
    <row r="25" spans="1:5" ht="61.5">
      <c r="A25" s="9" t="s">
        <v>352</v>
      </c>
      <c r="B25" s="4">
        <v>50</v>
      </c>
      <c r="C25" s="10" t="s">
        <v>353</v>
      </c>
      <c r="D25" s="26" t="s">
        <v>354</v>
      </c>
    </row>
    <row r="26" spans="1:5">
      <c r="A26" s="9" t="s">
        <v>355</v>
      </c>
      <c r="B26" s="4">
        <v>0.83</v>
      </c>
      <c r="C26" s="10" t="s">
        <v>356</v>
      </c>
      <c r="D26" s="29" t="s">
        <v>357</v>
      </c>
    </row>
    <row r="27" spans="1:5" ht="30.75">
      <c r="A27" s="9" t="s">
        <v>358</v>
      </c>
      <c r="B27" s="30">
        <v>0.48</v>
      </c>
      <c r="C27" s="10" t="s">
        <v>359</v>
      </c>
      <c r="D27" s="29" t="s">
        <v>360</v>
      </c>
    </row>
    <row r="28" spans="1:5">
      <c r="A28" s="9" t="s">
        <v>361</v>
      </c>
      <c r="B28" s="4">
        <v>0.59</v>
      </c>
      <c r="C28" s="10" t="s">
        <v>362</v>
      </c>
      <c r="D28" s="5" t="s">
        <v>363</v>
      </c>
    </row>
    <row r="29" spans="1:5" ht="48">
      <c r="A29" s="9" t="s">
        <v>364</v>
      </c>
      <c r="B29" s="4">
        <v>0.9</v>
      </c>
      <c r="C29" s="10" t="s">
        <v>365</v>
      </c>
      <c r="D29" s="20" t="s">
        <v>366</v>
      </c>
    </row>
    <row r="30" spans="1:5">
      <c r="A30" s="9" t="s">
        <v>367</v>
      </c>
      <c r="B30" s="4">
        <v>0.9</v>
      </c>
      <c r="C30" s="10" t="s">
        <v>368</v>
      </c>
      <c r="D30" s="75" t="s">
        <v>369</v>
      </c>
      <c r="E30" t="s">
        <v>370</v>
      </c>
    </row>
    <row r="31" spans="1:5">
      <c r="A31" s="9" t="s">
        <v>371</v>
      </c>
      <c r="B31" s="4">
        <v>0.9</v>
      </c>
      <c r="C31" s="10" t="s">
        <v>372</v>
      </c>
      <c r="D31" s="76"/>
    </row>
    <row r="32" spans="1:5">
      <c r="A32" s="9" t="s">
        <v>373</v>
      </c>
      <c r="B32" s="4">
        <v>0.38</v>
      </c>
      <c r="C32" s="10" t="s">
        <v>374</v>
      </c>
      <c r="D32" s="18" t="s">
        <v>375</v>
      </c>
    </row>
    <row r="33" spans="1:4" ht="30.75">
      <c r="A33" s="9" t="s">
        <v>376</v>
      </c>
      <c r="B33" s="4">
        <v>0.85</v>
      </c>
      <c r="C33" s="10" t="s">
        <v>377</v>
      </c>
      <c r="D33" s="17" t="s">
        <v>378</v>
      </c>
    </row>
    <row r="34" spans="1:4" ht="30.75">
      <c r="A34" s="9" t="s">
        <v>379</v>
      </c>
      <c r="B34" s="4">
        <v>0</v>
      </c>
      <c r="C34" s="10" t="s">
        <v>380</v>
      </c>
      <c r="D34" s="11" t="s">
        <v>381</v>
      </c>
    </row>
    <row r="35" spans="1:4">
      <c r="A35" s="9" t="s">
        <v>382</v>
      </c>
      <c r="B35" s="4">
        <v>49</v>
      </c>
      <c r="C35" s="10" t="s">
        <v>383</v>
      </c>
      <c r="D35" s="5" t="s">
        <v>363</v>
      </c>
    </row>
    <row r="36" spans="1:4">
      <c r="A36" s="9" t="s">
        <v>384</v>
      </c>
      <c r="B36" s="4">
        <v>38</v>
      </c>
      <c r="C36" s="10" t="s">
        <v>385</v>
      </c>
      <c r="D36" s="5" t="s">
        <v>363</v>
      </c>
    </row>
    <row r="37" spans="1:4">
      <c r="A37" s="9" t="s">
        <v>386</v>
      </c>
      <c r="B37" s="4">
        <v>0.66</v>
      </c>
      <c r="C37" s="10" t="s">
        <v>387</v>
      </c>
      <c r="D37" s="5" t="s">
        <v>388</v>
      </c>
    </row>
    <row r="38" spans="1:4">
      <c r="A38" s="9" t="s">
        <v>389</v>
      </c>
      <c r="B38" s="4">
        <v>0.03</v>
      </c>
      <c r="C38" s="10" t="s">
        <v>390</v>
      </c>
      <c r="D38" s="5" t="s">
        <v>363</v>
      </c>
    </row>
    <row r="39" spans="1:4" ht="30.75">
      <c r="A39" s="9" t="s">
        <v>391</v>
      </c>
      <c r="B39" s="4">
        <v>8.6</v>
      </c>
      <c r="C39" s="10" t="s">
        <v>392</v>
      </c>
      <c r="D39" s="20" t="s">
        <v>393</v>
      </c>
    </row>
    <row r="40" spans="1:4" ht="30.75">
      <c r="A40" t="s">
        <v>394</v>
      </c>
      <c r="B40">
        <v>0.93</v>
      </c>
      <c r="C40" t="s">
        <v>395</v>
      </c>
      <c r="D40" s="24" t="s">
        <v>396</v>
      </c>
    </row>
    <row r="41" spans="1:4" ht="46.5">
      <c r="A41" t="s">
        <v>397</v>
      </c>
      <c r="B41">
        <v>0.65</v>
      </c>
      <c r="C41" s="19" t="s">
        <v>398</v>
      </c>
      <c r="D41" s="20" t="s">
        <v>399</v>
      </c>
    </row>
    <row r="42" spans="1:4">
      <c r="A42" t="s">
        <v>400</v>
      </c>
      <c r="B42">
        <v>0.4</v>
      </c>
      <c r="C42" t="s">
        <v>401</v>
      </c>
      <c r="D42" s="24" t="s">
        <v>402</v>
      </c>
    </row>
    <row r="43" spans="1:4">
      <c r="A43" t="s">
        <v>403</v>
      </c>
      <c r="C43" t="s">
        <v>404</v>
      </c>
    </row>
    <row r="44" spans="1:4">
      <c r="A44" t="s">
        <v>405</v>
      </c>
      <c r="B44">
        <v>0.5</v>
      </c>
      <c r="C44" t="s">
        <v>406</v>
      </c>
      <c r="D44" s="19" t="s">
        <v>407</v>
      </c>
    </row>
    <row r="45" spans="1:4">
      <c r="A45" t="s">
        <v>408</v>
      </c>
      <c r="B45">
        <v>0.95</v>
      </c>
      <c r="C45" t="s">
        <v>409</v>
      </c>
      <c r="D45" s="19" t="s">
        <v>407</v>
      </c>
    </row>
    <row r="46" spans="1:4">
      <c r="A46" t="s">
        <v>410</v>
      </c>
      <c r="B46">
        <v>19</v>
      </c>
      <c r="C46" t="s">
        <v>411</v>
      </c>
      <c r="D46" s="19" t="s">
        <v>412</v>
      </c>
    </row>
    <row r="47" spans="1:4">
      <c r="A47" t="s">
        <v>413</v>
      </c>
      <c r="B47">
        <v>18</v>
      </c>
      <c r="C47" t="s">
        <v>414</v>
      </c>
    </row>
    <row r="48" spans="1:4">
      <c r="A48" t="s">
        <v>415</v>
      </c>
      <c r="B48">
        <v>3</v>
      </c>
      <c r="C48" t="s">
        <v>416</v>
      </c>
    </row>
    <row r="49" spans="1:4">
      <c r="A49" t="s">
        <v>417</v>
      </c>
      <c r="B49">
        <v>0.3</v>
      </c>
      <c r="C49" s="62" t="s">
        <v>418</v>
      </c>
    </row>
    <row r="50" spans="1:4" ht="45">
      <c r="A50" s="32" t="s">
        <v>419</v>
      </c>
      <c r="B50" s="59">
        <v>114.39</v>
      </c>
      <c r="C50" s="48" t="s">
        <v>201</v>
      </c>
      <c r="D50" s="34" t="s">
        <v>202</v>
      </c>
    </row>
    <row r="51" spans="1:4">
      <c r="A51" t="s">
        <v>420</v>
      </c>
      <c r="B51">
        <v>5.3</v>
      </c>
      <c r="D51" t="s">
        <v>421</v>
      </c>
    </row>
    <row r="52" spans="1:4">
      <c r="A52" t="s">
        <v>422</v>
      </c>
      <c r="B52">
        <v>4</v>
      </c>
      <c r="D52" t="s">
        <v>423</v>
      </c>
    </row>
    <row r="53" spans="1:4">
      <c r="A53" t="s">
        <v>424</v>
      </c>
      <c r="B53">
        <v>2.5</v>
      </c>
      <c r="D53" s="65" t="s">
        <v>425</v>
      </c>
    </row>
    <row r="54" spans="1:4">
      <c r="A54" t="s">
        <v>426</v>
      </c>
      <c r="B54">
        <v>0.50600000000000001</v>
      </c>
      <c r="C54" t="s">
        <v>427</v>
      </c>
    </row>
    <row r="55" spans="1:4">
      <c r="A55" t="s">
        <v>428</v>
      </c>
      <c r="B55">
        <v>0.1386</v>
      </c>
      <c r="C55" t="s">
        <v>429</v>
      </c>
    </row>
    <row r="56" spans="1:4">
      <c r="A56" t="s">
        <v>430</v>
      </c>
      <c r="B56">
        <v>5.28E-2</v>
      </c>
      <c r="C56" t="s">
        <v>429</v>
      </c>
    </row>
    <row r="57" spans="1:4">
      <c r="A57" t="s">
        <v>431</v>
      </c>
      <c r="B57">
        <v>0.2611</v>
      </c>
      <c r="C57" t="s">
        <v>429</v>
      </c>
    </row>
    <row r="58" spans="1:4">
      <c r="A58" t="s">
        <v>432</v>
      </c>
      <c r="B58">
        <v>0.54749999999999999</v>
      </c>
      <c r="C58" t="s">
        <v>429</v>
      </c>
    </row>
  </sheetData>
  <mergeCells count="3">
    <mergeCell ref="D14:D15"/>
    <mergeCell ref="D30:D31"/>
    <mergeCell ref="D9:D13"/>
  </mergeCells>
  <hyperlinks>
    <hyperlink ref="D17" r:id="rId1" xr:uid="{C074627C-8EDE-4224-B083-DA529D128274}"/>
    <hyperlink ref="D2" r:id="rId2" location="sec6" display="https://pmc.ncbi.nlm.nih.gov/articles/PMC6919230/#sec6" xr:uid="{F86FAC79-D816-4D4A-8526-BAFB71F5C3B6}"/>
    <hyperlink ref="D20" r:id="rId3" location="tbl1" xr:uid="{D7B4D1DE-C922-4434-B723-69D5A2386918}"/>
    <hyperlink ref="D18" r:id="rId4" location="tbl1" display="https://www.thelancet.com/journals/lanhiv/article/PIIS2352-3018(25)00132-8/fulltext#tbl1" xr:uid="{5F57E7E7-29A3-4844-85CD-6D6449EBFB3F}"/>
    <hyperlink ref="D19" r:id="rId5" display="https://www.thelancet.com/journals/langlo/article/PIIS2214-109X(23)00588-0/fulltext" xr:uid="{A59EE644-A4DF-40D9-AA89-6A1EB785DB10}"/>
    <hyperlink ref="D22" r:id="rId6" xr:uid="{26CE9BF1-C4DA-465B-BB01-C5BEE7E7B288}"/>
    <hyperlink ref="D41" r:id="rId7" display="https://link.springer.com/article/10.1186/s12879-025-10662-7" xr:uid="{4B94AFF9-497B-4C53-A07B-9CED45852494}"/>
    <hyperlink ref="D33" r:id="rId8" display="https://pmc.ncbi.nlm.nih.gov/articles/PMC4721939/" xr:uid="{361155BA-9430-48A8-8845-6DC754B20765}"/>
    <hyperlink ref="D29" r:id="rId9" xr:uid="{D0E6FB14-B72D-441F-9BE7-4F2C38213F12}"/>
    <hyperlink ref="D14:D15" r:id="rId10" display="https://pmc.ncbi.nlm.nih.gov/articles/PMC12411737/ use 1 year and 4 yera attrition respectively for unstable and stable. Adjust attrition by deaths and document transfers, additionally adding an assumed 15 5 reduction in silent transfers. Leaves LTFU ~69% of attrition. Divide 4 year by 4 to get annual value" xr:uid="{2675F2AF-442E-4C7C-93E2-D039C3D95E52}"/>
    <hyperlink ref="D30:D31" r:id="rId11" location="sec-1 https://www.thelancet.com/journals/lanhiv/article/PIIS2352-3018(22)00136-9/fulltext. taking Eline's Soth AFrica and malawi studies. Betwene the 6 mont and 12 month surpressionr rates" display="https://www.nejm.org/doi/10.1056/NEJMoa1902824#sec-1 https://www.thelancet.com/journals/lanhiv/article/PIIS2352-3018(22)00136-9/fulltext. taking Eline's Soth AFrica and malawi studies. Betwene the 6 mont and 12 month surpressionr rates" xr:uid="{C6E8C1E7-B2B2-4AB3-8BFA-E0457A354032}"/>
    <hyperlink ref="D39" r:id="rId12" xr:uid="{AE8C7878-06DC-4286-949A-18128FBF6D06}"/>
    <hyperlink ref="D9:D13" r:id="rId13" display="https://pmc.ncbi.nlm.nih.gov/articles/PMC11868778/" xr:uid="{979D4AB7-9F23-4251-B2B0-D36FC986C7F2}"/>
    <hyperlink ref="C49" r:id="rId14" location="sec6" xr:uid="{DACE1645-455C-4C83-A127-AA30A513DC76}"/>
    <hyperlink ref="C50" r:id="rId15" xr:uid="{E6B22A09-679A-4F68-97BB-FBCEE8040A7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B5C83-4826-4352-BA56-A0DFD517CEC3}">
  <dimension ref="A1:P13"/>
  <sheetViews>
    <sheetView workbookViewId="0">
      <selection activeCell="A13" sqref="A13:H13"/>
    </sheetView>
  </sheetViews>
  <sheetFormatPr defaultRowHeight="15.75"/>
  <cols>
    <col min="4" max="4" width="47.125" customWidth="1"/>
  </cols>
  <sheetData>
    <row r="1" spans="1:16" ht="48">
      <c r="A1" s="9" t="s">
        <v>331</v>
      </c>
      <c r="B1" s="4">
        <v>3.3E-3</v>
      </c>
      <c r="C1" s="10" t="s">
        <v>332</v>
      </c>
      <c r="D1" s="17" t="s">
        <v>333</v>
      </c>
    </row>
    <row r="2" spans="1:16" ht="60">
      <c r="A2" s="9" t="s">
        <v>334</v>
      </c>
      <c r="B2" s="4">
        <v>3.6999999999999998E-2</v>
      </c>
      <c r="C2" s="10" t="s">
        <v>335</v>
      </c>
      <c r="D2" s="17" t="s">
        <v>336</v>
      </c>
    </row>
    <row r="3" spans="1:16" ht="48">
      <c r="A3" s="9" t="s">
        <v>337</v>
      </c>
      <c r="B3" s="4">
        <v>0.2</v>
      </c>
      <c r="C3" s="10" t="s">
        <v>338</v>
      </c>
      <c r="D3" s="17" t="s">
        <v>339</v>
      </c>
    </row>
    <row r="5" spans="1:16">
      <c r="P5" s="63">
        <v>0.14000000000000001</v>
      </c>
    </row>
    <row r="6" spans="1:16">
      <c r="P6" s="62" t="s">
        <v>433</v>
      </c>
    </row>
    <row r="11" spans="1:16">
      <c r="I11" s="62" t="s">
        <v>434</v>
      </c>
    </row>
    <row r="13" spans="1:16" ht="409.6">
      <c r="A13" s="40" t="s">
        <v>12</v>
      </c>
      <c r="B13" s="40" t="s">
        <v>96</v>
      </c>
      <c r="C13" s="40" t="s">
        <v>97</v>
      </c>
      <c r="D13" s="40" t="s">
        <v>15</v>
      </c>
      <c r="E13" s="40">
        <v>0.79</v>
      </c>
      <c r="F13" s="42" t="s">
        <v>418</v>
      </c>
      <c r="G13" s="44" t="s">
        <v>93</v>
      </c>
      <c r="H13" s="40" t="s">
        <v>435</v>
      </c>
    </row>
  </sheetData>
  <hyperlinks>
    <hyperlink ref="D3" r:id="rId1" location="tbl1" xr:uid="{B12999C5-761E-4E35-8085-51FD629A0EBA}"/>
    <hyperlink ref="D1" r:id="rId2" location="tbl1" display="https://www.thelancet.com/journals/lanhiv/article/PIIS2352-3018(25)00132-8/fulltext#tbl1" xr:uid="{CE590113-2D34-427E-B69A-2395B4F8E774}"/>
    <hyperlink ref="D2" r:id="rId3" display="https://www.thelancet.com/journals/langlo/article/PIIS2214-109X(23)00588-0/fulltext" xr:uid="{E89E2B98-2CB9-43E2-87AE-DF994608176F}"/>
    <hyperlink ref="I11" r:id="rId4" xr:uid="{669ADFD2-95C5-4EE0-B7B8-7BC0BDF4216A}"/>
    <hyperlink ref="P6" r:id="rId5" xr:uid="{0FDD7A79-32E8-4936-85EA-5AF8861C799E}"/>
    <hyperlink ref="F13" r:id="rId6" location="sec6" xr:uid="{D44340E3-E60D-4046-A24C-08773EA2D3D7}"/>
  </hyperlinks>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45A5A-58BD-4DC9-858A-C72BC9447FA7}">
  <dimension ref="A1:J20"/>
  <sheetViews>
    <sheetView workbookViewId="0">
      <selection activeCell="I17" sqref="I17"/>
    </sheetView>
  </sheetViews>
  <sheetFormatPr defaultRowHeight="15.75"/>
  <sheetData>
    <row r="1" spans="1:10">
      <c r="A1" t="s">
        <v>436</v>
      </c>
      <c r="G1" t="s">
        <v>437</v>
      </c>
    </row>
    <row r="2" spans="1:10">
      <c r="A2" t="s">
        <v>438</v>
      </c>
      <c r="B2" t="s">
        <v>439</v>
      </c>
      <c r="C2" t="s">
        <v>440</v>
      </c>
      <c r="D2" t="s">
        <v>441</v>
      </c>
      <c r="G2" t="s">
        <v>438</v>
      </c>
      <c r="H2" t="s">
        <v>439</v>
      </c>
      <c r="I2" t="s">
        <v>440</v>
      </c>
      <c r="J2" t="s">
        <v>441</v>
      </c>
    </row>
    <row r="3" spans="1:10">
      <c r="A3" t="s">
        <v>442</v>
      </c>
      <c r="B3">
        <v>3759</v>
      </c>
      <c r="C3">
        <v>4237</v>
      </c>
      <c r="D3">
        <f>(C3-B3)/B3*100</f>
        <v>12.716147911678638</v>
      </c>
      <c r="G3" t="s">
        <v>442</v>
      </c>
      <c r="H3">
        <v>3759</v>
      </c>
      <c r="I3">
        <v>4159</v>
      </c>
      <c r="J3">
        <f>(I3-H3)/H3*100</f>
        <v>10.641127959563713</v>
      </c>
    </row>
    <row r="4" spans="1:10">
      <c r="A4" t="s">
        <v>443</v>
      </c>
      <c r="B4">
        <v>8366</v>
      </c>
      <c r="C4">
        <v>8388</v>
      </c>
      <c r="D4">
        <f t="shared" ref="D4:D16" si="0">(C4-B4)/B4*100</f>
        <v>0.26296916088931388</v>
      </c>
      <c r="G4" t="s">
        <v>443</v>
      </c>
      <c r="H4">
        <v>8366</v>
      </c>
      <c r="I4">
        <v>8832</v>
      </c>
      <c r="J4">
        <f t="shared" ref="J4:J16" si="1">(I4-H4)/H4*100</f>
        <v>5.57016495338274</v>
      </c>
    </row>
    <row r="5" spans="1:10">
      <c r="A5" t="s">
        <v>444</v>
      </c>
      <c r="B5">
        <v>2861</v>
      </c>
      <c r="C5">
        <v>2827</v>
      </c>
      <c r="D5">
        <f t="shared" si="0"/>
        <v>-1.188395665851101</v>
      </c>
      <c r="G5" t="s">
        <v>444</v>
      </c>
      <c r="H5">
        <v>2861</v>
      </c>
      <c r="I5">
        <v>2785</v>
      </c>
      <c r="J5">
        <f t="shared" si="1"/>
        <v>-2.656413841314226</v>
      </c>
    </row>
    <row r="6" spans="1:10">
      <c r="A6" t="s">
        <v>445</v>
      </c>
      <c r="B6">
        <v>12614</v>
      </c>
      <c r="C6">
        <v>11598</v>
      </c>
      <c r="D6">
        <f t="shared" si="0"/>
        <v>-8.0545425717456798</v>
      </c>
      <c r="G6" t="s">
        <v>445</v>
      </c>
      <c r="H6">
        <v>12614</v>
      </c>
      <c r="I6">
        <v>12601</v>
      </c>
      <c r="J6">
        <f t="shared" si="1"/>
        <v>-0.10306009196131283</v>
      </c>
    </row>
    <row r="7" spans="1:10">
      <c r="A7" t="s">
        <v>446</v>
      </c>
      <c r="B7">
        <v>20849</v>
      </c>
      <c r="C7">
        <v>21158</v>
      </c>
      <c r="D7">
        <f t="shared" si="0"/>
        <v>1.4820854717252627</v>
      </c>
      <c r="G7" t="s">
        <v>446</v>
      </c>
      <c r="H7">
        <v>20849</v>
      </c>
      <c r="I7">
        <v>21522</v>
      </c>
      <c r="J7">
        <f t="shared" si="1"/>
        <v>3.227972564631397</v>
      </c>
    </row>
    <row r="8" spans="1:10">
      <c r="A8" t="s">
        <v>447</v>
      </c>
      <c r="B8">
        <v>3956</v>
      </c>
      <c r="C8">
        <v>3174</v>
      </c>
      <c r="D8">
        <f t="shared" si="0"/>
        <v>-19.767441860465116</v>
      </c>
      <c r="G8" t="s">
        <v>447</v>
      </c>
      <c r="H8">
        <v>3956</v>
      </c>
      <c r="I8">
        <v>3097</v>
      </c>
      <c r="J8">
        <f t="shared" si="1"/>
        <v>-21.713852376137513</v>
      </c>
    </row>
    <row r="9" spans="1:10">
      <c r="A9" t="s">
        <v>448</v>
      </c>
      <c r="B9">
        <v>13694</v>
      </c>
      <c r="C9">
        <v>13666</v>
      </c>
      <c r="D9">
        <f t="shared" si="0"/>
        <v>-0.20446911055936909</v>
      </c>
      <c r="G9" t="s">
        <v>448</v>
      </c>
      <c r="H9">
        <v>13694</v>
      </c>
      <c r="I9">
        <v>13528</v>
      </c>
      <c r="J9">
        <f t="shared" si="1"/>
        <v>-1.2122097268876881</v>
      </c>
    </row>
    <row r="10" spans="1:10">
      <c r="A10" t="s">
        <v>449</v>
      </c>
      <c r="B10">
        <v>44044</v>
      </c>
      <c r="C10">
        <v>42655</v>
      </c>
      <c r="D10">
        <f t="shared" si="0"/>
        <v>-3.1536645173008813</v>
      </c>
      <c r="G10" t="s">
        <v>449</v>
      </c>
      <c r="H10">
        <v>44044</v>
      </c>
      <c r="I10">
        <v>42461</v>
      </c>
      <c r="J10">
        <f t="shared" si="1"/>
        <v>-3.5941331395876852</v>
      </c>
    </row>
    <row r="11" spans="1:10">
      <c r="A11" t="s">
        <v>450</v>
      </c>
      <c r="B11">
        <v>42175</v>
      </c>
      <c r="C11">
        <v>34558</v>
      </c>
      <c r="D11">
        <f t="shared" si="0"/>
        <v>-18.060462359217546</v>
      </c>
      <c r="G11" t="s">
        <v>450</v>
      </c>
      <c r="H11">
        <v>42175</v>
      </c>
      <c r="I11">
        <v>36157</v>
      </c>
      <c r="J11">
        <f t="shared" si="1"/>
        <v>-14.269116775340843</v>
      </c>
    </row>
    <row r="12" spans="1:10">
      <c r="A12" t="s">
        <v>451</v>
      </c>
      <c r="B12">
        <v>53299</v>
      </c>
      <c r="C12">
        <v>157381</v>
      </c>
      <c r="D12">
        <f t="shared" si="0"/>
        <v>195.27946115311732</v>
      </c>
      <c r="G12" t="s">
        <v>451</v>
      </c>
      <c r="H12">
        <v>53299</v>
      </c>
      <c r="I12">
        <v>163478</v>
      </c>
      <c r="J12">
        <f t="shared" si="1"/>
        <v>206.71870016323007</v>
      </c>
    </row>
    <row r="13" spans="1:10">
      <c r="A13" t="s">
        <v>452</v>
      </c>
      <c r="B13">
        <v>20335</v>
      </c>
      <c r="C13">
        <v>25057</v>
      </c>
      <c r="D13">
        <f t="shared" si="0"/>
        <v>23.221047455126627</v>
      </c>
      <c r="G13" t="s">
        <v>452</v>
      </c>
      <c r="H13">
        <v>20335</v>
      </c>
      <c r="I13">
        <v>25378</v>
      </c>
      <c r="J13">
        <f t="shared" si="1"/>
        <v>24.799606589623803</v>
      </c>
    </row>
    <row r="14" spans="1:10">
      <c r="A14" t="s">
        <v>453</v>
      </c>
      <c r="B14">
        <v>25995</v>
      </c>
      <c r="C14">
        <v>26382</v>
      </c>
      <c r="D14">
        <f t="shared" si="0"/>
        <v>1.4887478361223312</v>
      </c>
      <c r="G14" t="s">
        <v>453</v>
      </c>
      <c r="H14">
        <v>25995</v>
      </c>
      <c r="I14">
        <v>26874</v>
      </c>
      <c r="J14">
        <f t="shared" si="1"/>
        <v>3.3814195037507213</v>
      </c>
    </row>
    <row r="15" spans="1:10">
      <c r="A15" t="s">
        <v>454</v>
      </c>
      <c r="B15">
        <v>16372</v>
      </c>
      <c r="C15">
        <v>16433</v>
      </c>
      <c r="D15">
        <f t="shared" si="0"/>
        <v>0.3725873442462741</v>
      </c>
      <c r="G15" t="s">
        <v>454</v>
      </c>
      <c r="H15">
        <v>16372</v>
      </c>
      <c r="I15">
        <v>15807</v>
      </c>
      <c r="J15">
        <f t="shared" si="1"/>
        <v>-3.4510139262154897</v>
      </c>
    </row>
    <row r="16" spans="1:10">
      <c r="A16" t="s">
        <v>455</v>
      </c>
      <c r="B16">
        <v>16723</v>
      </c>
      <c r="C16">
        <v>15752</v>
      </c>
      <c r="D16">
        <f t="shared" si="0"/>
        <v>-5.8063744543443159</v>
      </c>
      <c r="G16" t="s">
        <v>455</v>
      </c>
      <c r="H16">
        <v>16723</v>
      </c>
      <c r="I16">
        <v>15258</v>
      </c>
      <c r="J16">
        <f t="shared" si="1"/>
        <v>-8.7603898821981705</v>
      </c>
    </row>
    <row r="20" spans="4:10">
      <c r="D20">
        <f>AVERAGE(D3:D16)</f>
        <v>12.756263985244415</v>
      </c>
      <c r="J20">
        <f>AVERAGE(J3:J16)</f>
        <v>14.184200141038534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CAB46-90C0-4A38-9BBB-78D44E99241B}">
  <dimension ref="A1:O13"/>
  <sheetViews>
    <sheetView topLeftCell="F1" workbookViewId="0">
      <selection activeCell="G13" sqref="G13"/>
    </sheetView>
  </sheetViews>
  <sheetFormatPr defaultRowHeight="15.75"/>
  <cols>
    <col min="1" max="1" width="21.375" customWidth="1"/>
    <col min="3" max="3" width="34.625" customWidth="1"/>
    <col min="4" max="4" width="49.375" customWidth="1"/>
    <col min="6" max="6" width="26.25" customWidth="1"/>
    <col min="8" max="8" width="33.5" customWidth="1"/>
    <col min="9" max="9" width="30.875" style="19" customWidth="1"/>
  </cols>
  <sheetData>
    <row r="1" spans="1:15">
      <c r="A1" s="82" t="s">
        <v>456</v>
      </c>
      <c r="B1" s="82"/>
      <c r="C1" s="82"/>
      <c r="D1" s="82"/>
      <c r="F1" s="82" t="s">
        <v>457</v>
      </c>
      <c r="G1" s="82"/>
      <c r="H1" s="82"/>
      <c r="I1" s="82"/>
      <c r="K1" t="s">
        <v>458</v>
      </c>
      <c r="O1" t="s">
        <v>459</v>
      </c>
    </row>
    <row r="2" spans="1:15" ht="77.25">
      <c r="A2" s="9" t="s">
        <v>289</v>
      </c>
      <c r="B2" s="22">
        <v>1.2E-2</v>
      </c>
      <c r="C2" s="10" t="s">
        <v>290</v>
      </c>
      <c r="D2" s="16" t="s">
        <v>291</v>
      </c>
      <c r="F2" s="9" t="s">
        <v>289</v>
      </c>
      <c r="G2" s="22">
        <v>1.2E-2</v>
      </c>
      <c r="H2" s="10" t="s">
        <v>290</v>
      </c>
      <c r="I2" s="16" t="s">
        <v>291</v>
      </c>
      <c r="K2">
        <f>G2*1.2</f>
        <v>1.44E-2</v>
      </c>
      <c r="O2" s="56">
        <v>2.8000000000000001E-2</v>
      </c>
    </row>
    <row r="3" spans="1:15" ht="31.5" customHeight="1">
      <c r="A3" s="9" t="s">
        <v>292</v>
      </c>
      <c r="B3" s="4">
        <v>6.0000000000000001E-3</v>
      </c>
      <c r="C3" s="10" t="s">
        <v>293</v>
      </c>
      <c r="D3" s="14" t="s">
        <v>294</v>
      </c>
      <c r="F3" s="9" t="s">
        <v>292</v>
      </c>
      <c r="G3" s="4">
        <v>6.0000000000000001E-3</v>
      </c>
      <c r="H3" s="10" t="s">
        <v>293</v>
      </c>
      <c r="I3" s="14" t="s">
        <v>294</v>
      </c>
      <c r="K3">
        <f t="shared" ref="K3:K8" si="0">G3*1.2</f>
        <v>7.1999999999999998E-3</v>
      </c>
      <c r="O3" s="57">
        <v>6.0000000000000001E-3</v>
      </c>
    </row>
    <row r="4" spans="1:15" ht="46.5">
      <c r="A4" s="9" t="s">
        <v>295</v>
      </c>
      <c r="B4" s="4">
        <v>4.4999999999999997E-3</v>
      </c>
      <c r="C4" s="10" t="s">
        <v>296</v>
      </c>
      <c r="D4" s="14" t="s">
        <v>460</v>
      </c>
      <c r="F4" s="9" t="s">
        <v>295</v>
      </c>
      <c r="G4" s="4">
        <v>5.1000000000000004E-3</v>
      </c>
      <c r="H4" s="10" t="s">
        <v>296</v>
      </c>
      <c r="I4" s="25" t="s">
        <v>297</v>
      </c>
      <c r="K4">
        <f t="shared" si="0"/>
        <v>6.1200000000000004E-3</v>
      </c>
      <c r="O4" s="57">
        <v>5.4999999999999997E-3</v>
      </c>
    </row>
    <row r="5" spans="1:15" ht="46.5">
      <c r="A5" s="9" t="s">
        <v>298</v>
      </c>
      <c r="B5" s="4">
        <v>4.4999999999999997E-3</v>
      </c>
      <c r="C5" s="10" t="s">
        <v>299</v>
      </c>
      <c r="D5" s="14" t="s">
        <v>460</v>
      </c>
      <c r="F5" s="9" t="s">
        <v>298</v>
      </c>
      <c r="G5" s="4">
        <v>5.1000000000000004E-3</v>
      </c>
      <c r="H5" s="10" t="s">
        <v>299</v>
      </c>
      <c r="I5" s="25" t="s">
        <v>297</v>
      </c>
      <c r="K5">
        <f t="shared" si="0"/>
        <v>6.1200000000000004E-3</v>
      </c>
      <c r="O5" s="57">
        <v>5.4999999999999997E-3</v>
      </c>
    </row>
    <row r="6" spans="1:15" ht="77.25">
      <c r="A6" s="9" t="s">
        <v>461</v>
      </c>
      <c r="B6" s="4">
        <v>0.05</v>
      </c>
      <c r="C6" s="10" t="s">
        <v>462</v>
      </c>
      <c r="D6" s="14" t="s">
        <v>463</v>
      </c>
      <c r="F6" s="9" t="s">
        <v>300</v>
      </c>
      <c r="G6">
        <v>0.14399999999999999</v>
      </c>
      <c r="H6" s="10"/>
      <c r="I6" s="19" t="s">
        <v>301</v>
      </c>
      <c r="K6">
        <f t="shared" si="0"/>
        <v>0.17279999999999998</v>
      </c>
      <c r="O6">
        <v>0.15</v>
      </c>
    </row>
    <row r="7" spans="1:15" ht="46.5">
      <c r="A7" s="9" t="s">
        <v>304</v>
      </c>
      <c r="B7" s="4">
        <v>0.18</v>
      </c>
      <c r="C7" s="10" t="s">
        <v>305</v>
      </c>
      <c r="D7" s="14" t="s">
        <v>464</v>
      </c>
      <c r="F7" t="s">
        <v>302</v>
      </c>
      <c r="G7">
        <v>2.8000000000000001E-2</v>
      </c>
      <c r="H7" s="10"/>
      <c r="I7" s="14" t="s">
        <v>465</v>
      </c>
      <c r="K7">
        <f>G7*1.2</f>
        <v>3.3599999999999998E-2</v>
      </c>
      <c r="O7">
        <v>2.8000000000000001E-2</v>
      </c>
    </row>
    <row r="8" spans="1:15" ht="30.75">
      <c r="A8" s="9" t="s">
        <v>307</v>
      </c>
      <c r="B8" s="22">
        <v>0.2</v>
      </c>
      <c r="C8" s="10" t="s">
        <v>308</v>
      </c>
      <c r="D8" s="80" t="s">
        <v>466</v>
      </c>
      <c r="F8" s="9" t="s">
        <v>304</v>
      </c>
      <c r="G8" s="4">
        <v>0.254</v>
      </c>
      <c r="H8" s="10" t="s">
        <v>305</v>
      </c>
      <c r="I8" s="14" t="s">
        <v>306</v>
      </c>
      <c r="K8">
        <f t="shared" si="0"/>
        <v>0.30480000000000002</v>
      </c>
      <c r="O8" s="57">
        <v>0.3</v>
      </c>
    </row>
    <row r="9" spans="1:15" ht="24">
      <c r="A9" s="9" t="s">
        <v>310</v>
      </c>
      <c r="B9" s="4">
        <v>0.2</v>
      </c>
      <c r="C9" s="10" t="s">
        <v>311</v>
      </c>
      <c r="D9" s="81"/>
      <c r="F9" s="9" t="s">
        <v>307</v>
      </c>
      <c r="G9" s="22">
        <v>0.154</v>
      </c>
      <c r="H9" s="10" t="s">
        <v>308</v>
      </c>
      <c r="I9" s="80" t="s">
        <v>309</v>
      </c>
      <c r="O9" s="56">
        <v>0.154</v>
      </c>
    </row>
    <row r="10" spans="1:15" ht="24">
      <c r="A10" s="9" t="s">
        <v>312</v>
      </c>
      <c r="B10" s="4">
        <v>0.2</v>
      </c>
      <c r="C10" s="10" t="s">
        <v>313</v>
      </c>
      <c r="D10" s="81"/>
      <c r="F10" s="9" t="s">
        <v>310</v>
      </c>
      <c r="G10" s="4">
        <v>0.20899999999999999</v>
      </c>
      <c r="H10" s="10" t="s">
        <v>311</v>
      </c>
      <c r="I10" s="81"/>
      <c r="O10" s="57">
        <v>0.20899999999999999</v>
      </c>
    </row>
    <row r="11" spans="1:15" ht="24">
      <c r="A11" s="9" t="s">
        <v>314</v>
      </c>
      <c r="B11" s="4">
        <v>0</v>
      </c>
      <c r="C11" s="10" t="s">
        <v>315</v>
      </c>
      <c r="D11" s="5" t="s">
        <v>45</v>
      </c>
      <c r="F11" s="9" t="s">
        <v>312</v>
      </c>
      <c r="G11" s="4">
        <v>0.20899999999999999</v>
      </c>
      <c r="H11" s="10" t="s">
        <v>313</v>
      </c>
      <c r="I11" s="81"/>
      <c r="O11" s="57">
        <v>0.20899999999999999</v>
      </c>
    </row>
    <row r="12" spans="1:15" ht="24">
      <c r="A12" s="9" t="s">
        <v>316</v>
      </c>
      <c r="B12" s="4">
        <v>0</v>
      </c>
      <c r="C12" s="10" t="s">
        <v>317</v>
      </c>
      <c r="D12" s="5" t="s">
        <v>45</v>
      </c>
      <c r="F12" s="9" t="s">
        <v>314</v>
      </c>
      <c r="G12" s="4">
        <v>0.29499999999999998</v>
      </c>
      <c r="H12" s="10" t="s">
        <v>315</v>
      </c>
      <c r="I12" s="81"/>
      <c r="O12" s="57">
        <v>0.29499999999999998</v>
      </c>
    </row>
    <row r="13" spans="1:15" ht="24">
      <c r="F13" s="9" t="s">
        <v>316</v>
      </c>
      <c r="G13" s="4">
        <v>4.2999999999999997E-2</v>
      </c>
      <c r="H13" s="10" t="s">
        <v>317</v>
      </c>
      <c r="I13" s="83"/>
      <c r="O13" s="57">
        <v>4.2999999999999997E-2</v>
      </c>
    </row>
  </sheetData>
  <mergeCells count="4">
    <mergeCell ref="D8:D10"/>
    <mergeCell ref="A1:D1"/>
    <mergeCell ref="I9:I13"/>
    <mergeCell ref="F1:I1"/>
  </mergeCells>
  <hyperlinks>
    <hyperlink ref="D2" r:id="rId1" location="sec6" display="https://pmc.ncbi.nlm.nih.gov/articles/PMC6919230/#sec6" xr:uid="{0950D6C6-D44B-4606-80FC-690C4C7939DB}"/>
    <hyperlink ref="I2" r:id="rId2" location="sec6" display="https://pmc.ncbi.nlm.nih.gov/articles/PMC6919230/#sec6" xr:uid="{0642024A-EAC5-4895-88B2-E6A25269B1B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8E58F-ABE1-454E-AB02-30EBD0E13C9F}">
  <sheetPr>
    <tabColor rgb="FFFF0000"/>
  </sheetPr>
  <dimension ref="A1:G22"/>
  <sheetViews>
    <sheetView workbookViewId="0">
      <selection activeCell="B21" sqref="B21"/>
    </sheetView>
  </sheetViews>
  <sheetFormatPr defaultRowHeight="15.75"/>
  <cols>
    <col min="1" max="1" width="27.375" bestFit="1" customWidth="1"/>
    <col min="2" max="2" width="11" customWidth="1"/>
    <col min="3" max="3" width="15.875" customWidth="1"/>
    <col min="4" max="4" width="44" customWidth="1"/>
    <col min="5" max="5" width="27.75" customWidth="1"/>
    <col min="6" max="6" width="106.5" bestFit="1" customWidth="1"/>
  </cols>
  <sheetData>
    <row r="1" spans="1:7">
      <c r="A1" t="s">
        <v>467</v>
      </c>
      <c r="B1" t="s">
        <v>286</v>
      </c>
      <c r="C1" t="s">
        <v>468</v>
      </c>
      <c r="D1" t="s">
        <v>469</v>
      </c>
      <c r="E1" s="2" t="s">
        <v>470</v>
      </c>
      <c r="F1" t="s">
        <v>287</v>
      </c>
      <c r="G1" t="s">
        <v>11</v>
      </c>
    </row>
    <row r="2" spans="1:7">
      <c r="A2" t="s">
        <v>471</v>
      </c>
      <c r="C2" t="s">
        <v>472</v>
      </c>
      <c r="D2" s="3" t="s">
        <v>162</v>
      </c>
      <c r="E2" t="s">
        <v>473</v>
      </c>
      <c r="F2" t="s">
        <v>474</v>
      </c>
    </row>
    <row r="3" spans="1:7">
      <c r="A3" t="s">
        <v>475</v>
      </c>
      <c r="C3" t="s">
        <v>472</v>
      </c>
      <c r="D3" s="3" t="s">
        <v>162</v>
      </c>
      <c r="E3" t="s">
        <v>473</v>
      </c>
      <c r="F3" t="s">
        <v>476</v>
      </c>
    </row>
    <row r="4" spans="1:7">
      <c r="A4" t="s">
        <v>477</v>
      </c>
      <c r="C4" t="s">
        <v>472</v>
      </c>
      <c r="D4" s="3" t="s">
        <v>162</v>
      </c>
      <c r="E4" t="s">
        <v>473</v>
      </c>
      <c r="F4" t="s">
        <v>478</v>
      </c>
    </row>
    <row r="5" spans="1:7">
      <c r="A5" t="s">
        <v>479</v>
      </c>
      <c r="B5">
        <v>1.5</v>
      </c>
      <c r="C5" t="s">
        <v>472</v>
      </c>
      <c r="D5" s="3" t="s">
        <v>162</v>
      </c>
      <c r="E5" t="s">
        <v>473</v>
      </c>
      <c r="F5" t="s">
        <v>480</v>
      </c>
    </row>
    <row r="6" spans="1:7">
      <c r="A6" t="s">
        <v>481</v>
      </c>
      <c r="B6">
        <v>0.6</v>
      </c>
      <c r="C6" t="s">
        <v>472</v>
      </c>
      <c r="D6" s="3" t="s">
        <v>162</v>
      </c>
      <c r="E6" t="s">
        <v>473</v>
      </c>
      <c r="F6" t="s">
        <v>482</v>
      </c>
    </row>
    <row r="7" spans="1:7">
      <c r="A7" t="s">
        <v>483</v>
      </c>
      <c r="B7">
        <v>0</v>
      </c>
      <c r="C7" s="12" t="s">
        <v>45</v>
      </c>
      <c r="D7" s="12" t="s">
        <v>484</v>
      </c>
      <c r="E7" t="s">
        <v>485</v>
      </c>
      <c r="F7" t="s">
        <v>486</v>
      </c>
    </row>
    <row r="8" spans="1:7">
      <c r="A8" t="s">
        <v>487</v>
      </c>
      <c r="B8">
        <v>0.08</v>
      </c>
      <c r="C8" t="s">
        <v>472</v>
      </c>
      <c r="D8" s="3" t="s">
        <v>162</v>
      </c>
      <c r="E8" t="s">
        <v>473</v>
      </c>
      <c r="F8" t="s">
        <v>488</v>
      </c>
    </row>
    <row r="9" spans="1:7">
      <c r="A9" t="s">
        <v>489</v>
      </c>
      <c r="B9">
        <v>0.15</v>
      </c>
      <c r="C9" t="s">
        <v>472</v>
      </c>
      <c r="D9" s="3" t="s">
        <v>162</v>
      </c>
      <c r="E9" t="s">
        <v>473</v>
      </c>
      <c r="F9" t="s">
        <v>490</v>
      </c>
    </row>
    <row r="10" spans="1:7">
      <c r="A10" t="s">
        <v>491</v>
      </c>
      <c r="B10">
        <v>0.05</v>
      </c>
      <c r="C10" t="s">
        <v>472</v>
      </c>
      <c r="D10" s="3" t="s">
        <v>162</v>
      </c>
      <c r="E10" t="s">
        <v>473</v>
      </c>
      <c r="F10" t="s">
        <v>492</v>
      </c>
    </row>
    <row r="11" spans="1:7">
      <c r="A11" t="s">
        <v>493</v>
      </c>
      <c r="B11">
        <v>0.25</v>
      </c>
      <c r="C11" t="s">
        <v>472</v>
      </c>
      <c r="D11" s="3" t="s">
        <v>162</v>
      </c>
      <c r="E11" t="s">
        <v>485</v>
      </c>
      <c r="F11" t="s">
        <v>494</v>
      </c>
    </row>
    <row r="12" spans="1:7">
      <c r="A12" t="s">
        <v>495</v>
      </c>
      <c r="B12">
        <v>0.02</v>
      </c>
      <c r="C12" t="s">
        <v>472</v>
      </c>
      <c r="D12" s="3" t="s">
        <v>162</v>
      </c>
      <c r="E12" t="s">
        <v>473</v>
      </c>
      <c r="F12" t="s">
        <v>496</v>
      </c>
    </row>
    <row r="13" spans="1:7" ht="30.75">
      <c r="A13" t="s">
        <v>497</v>
      </c>
      <c r="B13">
        <v>0.2</v>
      </c>
      <c r="C13" t="s">
        <v>498</v>
      </c>
      <c r="D13" s="13" t="s">
        <v>499</v>
      </c>
      <c r="E13" t="s">
        <v>473</v>
      </c>
      <c r="F13" t="s">
        <v>500</v>
      </c>
      <c r="G13" t="s">
        <v>501</v>
      </c>
    </row>
    <row r="14" spans="1:7">
      <c r="A14" t="s">
        <v>502</v>
      </c>
      <c r="B14">
        <v>0.9</v>
      </c>
      <c r="C14" t="s">
        <v>472</v>
      </c>
      <c r="D14" s="3" t="s">
        <v>162</v>
      </c>
      <c r="E14" t="s">
        <v>473</v>
      </c>
      <c r="F14" t="s">
        <v>503</v>
      </c>
    </row>
    <row r="15" spans="1:7">
      <c r="A15" t="s">
        <v>504</v>
      </c>
      <c r="B15">
        <v>0.9</v>
      </c>
      <c r="C15" t="s">
        <v>472</v>
      </c>
      <c r="D15" s="3" t="s">
        <v>162</v>
      </c>
      <c r="E15" t="s">
        <v>473</v>
      </c>
      <c r="F15" t="s">
        <v>505</v>
      </c>
    </row>
    <row r="16" spans="1:7">
      <c r="A16" t="s">
        <v>506</v>
      </c>
      <c r="B16">
        <v>0.02</v>
      </c>
      <c r="C16" t="s">
        <v>472</v>
      </c>
      <c r="D16" s="3" t="s">
        <v>162</v>
      </c>
      <c r="E16" t="s">
        <v>485</v>
      </c>
      <c r="F16" t="s">
        <v>507</v>
      </c>
    </row>
    <row r="17" spans="1:6">
      <c r="A17" t="s">
        <v>508</v>
      </c>
      <c r="B17">
        <v>0.1</v>
      </c>
      <c r="C17" t="s">
        <v>472</v>
      </c>
      <c r="D17" s="3" t="s">
        <v>162</v>
      </c>
      <c r="E17" t="s">
        <v>473</v>
      </c>
      <c r="F17" t="s">
        <v>509</v>
      </c>
    </row>
    <row r="18" spans="1:6">
      <c r="A18" t="s">
        <v>510</v>
      </c>
      <c r="B18">
        <v>0.5</v>
      </c>
      <c r="C18" t="s">
        <v>472</v>
      </c>
      <c r="D18" s="3" t="s">
        <v>162</v>
      </c>
      <c r="E18" t="s">
        <v>485</v>
      </c>
      <c r="F18" t="s">
        <v>511</v>
      </c>
    </row>
    <row r="19" spans="1:6" s="2" customFormat="1">
      <c r="A19" s="2" t="s">
        <v>512</v>
      </c>
      <c r="B19" s="2">
        <v>0.9</v>
      </c>
      <c r="C19" s="2" t="s">
        <v>472</v>
      </c>
      <c r="D19" s="2" t="s">
        <v>162</v>
      </c>
      <c r="E19" s="2" t="s">
        <v>470</v>
      </c>
      <c r="F19" s="2" t="s">
        <v>513</v>
      </c>
    </row>
    <row r="20" spans="1:6">
      <c r="A20" t="s">
        <v>514</v>
      </c>
      <c r="B20">
        <v>0.15</v>
      </c>
      <c r="C20" t="s">
        <v>107</v>
      </c>
      <c r="D20" s="3" t="s">
        <v>162</v>
      </c>
      <c r="E20" t="s">
        <v>485</v>
      </c>
      <c r="F20" t="s">
        <v>515</v>
      </c>
    </row>
    <row r="21" spans="1:6">
      <c r="A21" t="s">
        <v>516</v>
      </c>
      <c r="B21">
        <v>0.3</v>
      </c>
      <c r="C21" t="s">
        <v>107</v>
      </c>
      <c r="D21" s="3" t="s">
        <v>162</v>
      </c>
      <c r="E21" t="s">
        <v>473</v>
      </c>
      <c r="F21" t="s">
        <v>517</v>
      </c>
    </row>
    <row r="22" spans="1:6">
      <c r="A22" t="s">
        <v>518</v>
      </c>
      <c r="B22">
        <v>200</v>
      </c>
      <c r="C22" t="s">
        <v>107</v>
      </c>
      <c r="D22" s="3" t="s">
        <v>162</v>
      </c>
      <c r="E22" t="s">
        <v>473</v>
      </c>
      <c r="F22" t="s">
        <v>519</v>
      </c>
    </row>
  </sheetData>
  <hyperlinks>
    <hyperlink ref="D13" r:id="rId1" location="T0001_1651" xr:uid="{B0996A35-7CCE-4371-AD27-F24AFC79CE7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99FF6-7E52-4E1B-8FF8-AB8F1D109C12}">
  <dimension ref="A1:I95"/>
  <sheetViews>
    <sheetView topLeftCell="A22" workbookViewId="0">
      <selection activeCell="A2" sqref="A2:I10"/>
    </sheetView>
  </sheetViews>
  <sheetFormatPr defaultRowHeight="15.75"/>
  <sheetData>
    <row r="1" spans="1:9">
      <c r="D1" s="1" t="s">
        <v>0</v>
      </c>
    </row>
    <row r="2" spans="1:9">
      <c r="A2" s="2" t="s">
        <v>2</v>
      </c>
      <c r="B2" s="2" t="s">
        <v>3</v>
      </c>
      <c r="C2" s="2" t="s">
        <v>4</v>
      </c>
      <c r="D2" s="2" t="s">
        <v>5</v>
      </c>
      <c r="E2" s="2" t="s">
        <v>6</v>
      </c>
      <c r="F2" s="2" t="s">
        <v>8</v>
      </c>
      <c r="G2" s="2" t="s">
        <v>9</v>
      </c>
      <c r="H2" s="2" t="s">
        <v>11</v>
      </c>
      <c r="I2" s="2" t="s">
        <v>520</v>
      </c>
    </row>
    <row r="3" spans="1:9">
      <c r="A3" s="2" t="s">
        <v>12</v>
      </c>
      <c r="B3" s="2" t="s">
        <v>34</v>
      </c>
      <c r="C3" s="2" t="s">
        <v>35</v>
      </c>
      <c r="D3" s="2" t="s">
        <v>15</v>
      </c>
      <c r="E3" s="2">
        <v>0.86</v>
      </c>
      <c r="F3" s="2" t="s">
        <v>107</v>
      </c>
      <c r="G3" s="2" t="s">
        <v>162</v>
      </c>
      <c r="H3" s="2" t="s">
        <v>38</v>
      </c>
      <c r="I3" s="2" t="s">
        <v>521</v>
      </c>
    </row>
    <row r="4" spans="1:9">
      <c r="A4" s="2" t="s">
        <v>12</v>
      </c>
      <c r="B4" s="2" t="s">
        <v>34</v>
      </c>
      <c r="C4" s="2" t="s">
        <v>35</v>
      </c>
      <c r="D4" s="2" t="s">
        <v>18</v>
      </c>
      <c r="E4" s="2">
        <v>180</v>
      </c>
      <c r="F4" s="2" t="s">
        <v>107</v>
      </c>
      <c r="G4" s="2" t="s">
        <v>162</v>
      </c>
      <c r="H4" s="2" t="s">
        <v>522</v>
      </c>
      <c r="I4" s="2" t="s">
        <v>523</v>
      </c>
    </row>
    <row r="5" spans="1:9">
      <c r="A5" s="2" t="s">
        <v>12</v>
      </c>
      <c r="B5" s="2" t="s">
        <v>58</v>
      </c>
      <c r="C5" s="2" t="s">
        <v>59</v>
      </c>
      <c r="D5" s="2" t="s">
        <v>15</v>
      </c>
      <c r="E5" s="2">
        <v>0.96</v>
      </c>
      <c r="F5" s="2" t="s">
        <v>107</v>
      </c>
      <c r="G5" s="2" t="s">
        <v>162</v>
      </c>
      <c r="H5" s="2" t="s">
        <v>60</v>
      </c>
      <c r="I5" s="2" t="s">
        <v>524</v>
      </c>
    </row>
    <row r="6" spans="1:9">
      <c r="A6" s="2" t="s">
        <v>12</v>
      </c>
      <c r="B6" s="2" t="s">
        <v>58</v>
      </c>
      <c r="C6" s="2" t="s">
        <v>59</v>
      </c>
      <c r="D6" s="2" t="s">
        <v>18</v>
      </c>
      <c r="E6" s="2">
        <v>450</v>
      </c>
      <c r="F6" s="2" t="s">
        <v>107</v>
      </c>
      <c r="G6" s="2" t="s">
        <v>162</v>
      </c>
      <c r="H6" s="2" t="s">
        <v>63</v>
      </c>
      <c r="I6" s="2" t="s">
        <v>525</v>
      </c>
    </row>
    <row r="7" spans="1:9">
      <c r="A7" s="2" t="s">
        <v>12</v>
      </c>
      <c r="B7" s="2" t="s">
        <v>65</v>
      </c>
      <c r="C7" s="2" t="s">
        <v>66</v>
      </c>
      <c r="D7" s="2" t="s">
        <v>15</v>
      </c>
      <c r="E7" s="2">
        <v>0.6</v>
      </c>
      <c r="F7" s="2" t="s">
        <v>107</v>
      </c>
      <c r="G7" s="2" t="s">
        <v>162</v>
      </c>
      <c r="H7" s="2" t="s">
        <v>69</v>
      </c>
      <c r="I7" s="2" t="s">
        <v>526</v>
      </c>
    </row>
    <row r="8" spans="1:9">
      <c r="A8" s="2" t="s">
        <v>12</v>
      </c>
      <c r="B8" s="2" t="s">
        <v>65</v>
      </c>
      <c r="C8" s="2" t="s">
        <v>66</v>
      </c>
      <c r="D8" s="2" t="s">
        <v>18</v>
      </c>
      <c r="E8" s="2">
        <v>75</v>
      </c>
      <c r="F8" s="2" t="s">
        <v>107</v>
      </c>
      <c r="G8" s="2" t="s">
        <v>162</v>
      </c>
      <c r="H8" s="2" t="s">
        <v>74</v>
      </c>
      <c r="I8" s="2" t="s">
        <v>527</v>
      </c>
    </row>
    <row r="9" spans="1:9">
      <c r="A9" s="2" t="s">
        <v>12</v>
      </c>
      <c r="B9" s="2" t="s">
        <v>77</v>
      </c>
      <c r="C9" s="2" t="s">
        <v>78</v>
      </c>
      <c r="D9" s="2" t="s">
        <v>15</v>
      </c>
      <c r="E9" s="2">
        <v>0.85</v>
      </c>
      <c r="F9" s="2" t="s">
        <v>107</v>
      </c>
      <c r="G9" s="2" t="s">
        <v>162</v>
      </c>
      <c r="H9" s="2" t="s">
        <v>81</v>
      </c>
      <c r="I9" s="2" t="s">
        <v>528</v>
      </c>
    </row>
    <row r="10" spans="1:9">
      <c r="A10" s="2" t="s">
        <v>12</v>
      </c>
      <c r="B10" s="2" t="s">
        <v>77</v>
      </c>
      <c r="C10" s="2" t="s">
        <v>78</v>
      </c>
      <c r="D10" s="2" t="s">
        <v>18</v>
      </c>
      <c r="E10" s="2">
        <v>0.25</v>
      </c>
      <c r="F10" s="2" t="s">
        <v>107</v>
      </c>
      <c r="G10" s="2" t="s">
        <v>162</v>
      </c>
      <c r="H10" s="2" t="s">
        <v>85</v>
      </c>
      <c r="I10" s="2" t="s">
        <v>529</v>
      </c>
    </row>
    <row r="11" spans="1:9">
      <c r="A11" t="s">
        <v>12</v>
      </c>
      <c r="B11" t="s">
        <v>87</v>
      </c>
      <c r="C11" t="s">
        <v>88</v>
      </c>
      <c r="D11" t="s">
        <v>15</v>
      </c>
      <c r="E11">
        <v>0.81</v>
      </c>
      <c r="F11" t="s">
        <v>107</v>
      </c>
      <c r="G11" t="s">
        <v>162</v>
      </c>
      <c r="H11" t="s">
        <v>91</v>
      </c>
      <c r="I11" t="s">
        <v>530</v>
      </c>
    </row>
    <row r="12" spans="1:9">
      <c r="A12" t="s">
        <v>12</v>
      </c>
      <c r="B12" t="s">
        <v>87</v>
      </c>
      <c r="C12" t="s">
        <v>88</v>
      </c>
      <c r="D12" t="s">
        <v>18</v>
      </c>
      <c r="E12">
        <v>120</v>
      </c>
      <c r="F12" t="s">
        <v>107</v>
      </c>
      <c r="G12" t="s">
        <v>162</v>
      </c>
      <c r="H12" t="s">
        <v>94</v>
      </c>
      <c r="I12" t="s">
        <v>531</v>
      </c>
    </row>
    <row r="13" spans="1:9">
      <c r="A13" t="s">
        <v>12</v>
      </c>
      <c r="B13" t="s">
        <v>96</v>
      </c>
      <c r="C13" t="s">
        <v>97</v>
      </c>
      <c r="D13" t="s">
        <v>15</v>
      </c>
      <c r="E13">
        <v>0.92</v>
      </c>
      <c r="F13" t="s">
        <v>107</v>
      </c>
      <c r="G13" t="s">
        <v>162</v>
      </c>
      <c r="H13" t="s">
        <v>435</v>
      </c>
      <c r="I13" t="s">
        <v>532</v>
      </c>
    </row>
    <row r="14" spans="1:9">
      <c r="A14" t="s">
        <v>12</v>
      </c>
      <c r="B14" t="s">
        <v>96</v>
      </c>
      <c r="C14" t="s">
        <v>97</v>
      </c>
      <c r="D14" t="s">
        <v>18</v>
      </c>
      <c r="E14">
        <v>45</v>
      </c>
      <c r="F14" t="s">
        <v>107</v>
      </c>
      <c r="G14" t="s">
        <v>162</v>
      </c>
      <c r="H14" t="s">
        <v>103</v>
      </c>
      <c r="I14" t="s">
        <v>533</v>
      </c>
    </row>
    <row r="15" spans="1:9">
      <c r="A15" t="s">
        <v>12</v>
      </c>
      <c r="B15" t="s">
        <v>105</v>
      </c>
      <c r="C15" t="s">
        <v>106</v>
      </c>
      <c r="D15" t="s">
        <v>15</v>
      </c>
      <c r="E15">
        <v>0.7</v>
      </c>
      <c r="F15" t="s">
        <v>107</v>
      </c>
      <c r="G15" t="s">
        <v>162</v>
      </c>
      <c r="H15" t="s">
        <v>534</v>
      </c>
      <c r="I15" t="s">
        <v>535</v>
      </c>
    </row>
    <row r="16" spans="1:9">
      <c r="A16" t="s">
        <v>12</v>
      </c>
      <c r="B16" t="s">
        <v>105</v>
      </c>
      <c r="C16" t="s">
        <v>106</v>
      </c>
      <c r="D16" t="s">
        <v>18</v>
      </c>
      <c r="E16">
        <v>12</v>
      </c>
      <c r="F16" t="s">
        <v>107</v>
      </c>
      <c r="G16" t="s">
        <v>162</v>
      </c>
      <c r="H16" t="s">
        <v>109</v>
      </c>
      <c r="I16" t="s">
        <v>536</v>
      </c>
    </row>
    <row r="17" spans="1:9">
      <c r="A17" t="s">
        <v>112</v>
      </c>
      <c r="B17" t="s">
        <v>537</v>
      </c>
      <c r="C17" t="s">
        <v>538</v>
      </c>
      <c r="D17" t="s">
        <v>15</v>
      </c>
      <c r="E17">
        <v>0.99</v>
      </c>
      <c r="F17" t="s">
        <v>107</v>
      </c>
      <c r="G17" t="s">
        <v>162</v>
      </c>
      <c r="H17" t="s">
        <v>117</v>
      </c>
      <c r="I17" t="s">
        <v>539</v>
      </c>
    </row>
    <row r="18" spans="1:9">
      <c r="A18" t="s">
        <v>112</v>
      </c>
      <c r="B18" t="s">
        <v>537</v>
      </c>
      <c r="C18" t="s">
        <v>538</v>
      </c>
      <c r="D18" t="s">
        <v>18</v>
      </c>
      <c r="E18">
        <v>15</v>
      </c>
      <c r="F18" t="s">
        <v>107</v>
      </c>
      <c r="G18" t="s">
        <v>162</v>
      </c>
      <c r="H18" t="s">
        <v>120</v>
      </c>
      <c r="I18" t="s">
        <v>540</v>
      </c>
    </row>
    <row r="19" spans="1:9">
      <c r="A19" t="s">
        <v>112</v>
      </c>
      <c r="B19" t="s">
        <v>537</v>
      </c>
      <c r="C19" t="s">
        <v>538</v>
      </c>
      <c r="D19" t="s">
        <v>122</v>
      </c>
      <c r="E19">
        <v>0.97</v>
      </c>
      <c r="F19" t="s">
        <v>107</v>
      </c>
      <c r="G19" t="s">
        <v>162</v>
      </c>
      <c r="H19" t="s">
        <v>125</v>
      </c>
      <c r="I19" t="s">
        <v>541</v>
      </c>
    </row>
    <row r="20" spans="1:9">
      <c r="A20" t="s">
        <v>112</v>
      </c>
      <c r="B20" t="s">
        <v>537</v>
      </c>
      <c r="C20" t="s">
        <v>538</v>
      </c>
      <c r="D20" t="s">
        <v>126</v>
      </c>
      <c r="E20">
        <v>25</v>
      </c>
      <c r="F20" t="s">
        <v>107</v>
      </c>
      <c r="G20" t="s">
        <v>162</v>
      </c>
      <c r="H20" t="s">
        <v>129</v>
      </c>
      <c r="I20" t="s">
        <v>542</v>
      </c>
    </row>
    <row r="21" spans="1:9">
      <c r="A21" t="s">
        <v>112</v>
      </c>
      <c r="B21" t="s">
        <v>140</v>
      </c>
      <c r="C21" t="s">
        <v>141</v>
      </c>
      <c r="D21" t="s">
        <v>15</v>
      </c>
      <c r="E21">
        <v>0.99</v>
      </c>
      <c r="F21" t="s">
        <v>107</v>
      </c>
      <c r="G21" t="s">
        <v>162</v>
      </c>
      <c r="H21" t="s">
        <v>117</v>
      </c>
      <c r="I21" t="s">
        <v>543</v>
      </c>
    </row>
    <row r="22" spans="1:9">
      <c r="A22" t="s">
        <v>112</v>
      </c>
      <c r="B22" t="s">
        <v>140</v>
      </c>
      <c r="C22" t="s">
        <v>141</v>
      </c>
      <c r="D22" t="s">
        <v>18</v>
      </c>
      <c r="E22">
        <v>8</v>
      </c>
      <c r="F22" t="s">
        <v>107</v>
      </c>
      <c r="G22" t="s">
        <v>162</v>
      </c>
      <c r="H22" t="s">
        <v>142</v>
      </c>
      <c r="I22" t="s">
        <v>544</v>
      </c>
    </row>
    <row r="23" spans="1:9">
      <c r="A23" t="s">
        <v>112</v>
      </c>
      <c r="B23" t="s">
        <v>140</v>
      </c>
      <c r="C23" t="s">
        <v>141</v>
      </c>
      <c r="D23" t="s">
        <v>122</v>
      </c>
      <c r="E23">
        <v>0.97</v>
      </c>
      <c r="F23" t="s">
        <v>107</v>
      </c>
      <c r="G23" t="s">
        <v>162</v>
      </c>
      <c r="H23" t="s">
        <v>143</v>
      </c>
      <c r="I23" t="s">
        <v>545</v>
      </c>
    </row>
    <row r="24" spans="1:9">
      <c r="A24" t="s">
        <v>112</v>
      </c>
      <c r="B24" t="s">
        <v>140</v>
      </c>
      <c r="C24" t="s">
        <v>141</v>
      </c>
      <c r="D24" t="s">
        <v>126</v>
      </c>
      <c r="E24">
        <v>25</v>
      </c>
      <c r="F24" t="s">
        <v>107</v>
      </c>
      <c r="G24" t="s">
        <v>162</v>
      </c>
      <c r="H24" t="s">
        <v>129</v>
      </c>
      <c r="I24" t="s">
        <v>546</v>
      </c>
    </row>
    <row r="25" spans="1:9">
      <c r="A25" t="s">
        <v>112</v>
      </c>
      <c r="B25" t="s">
        <v>144</v>
      </c>
      <c r="C25" t="s">
        <v>145</v>
      </c>
      <c r="D25" t="s">
        <v>15</v>
      </c>
      <c r="E25">
        <v>0.99</v>
      </c>
      <c r="F25" t="s">
        <v>107</v>
      </c>
      <c r="G25" t="s">
        <v>162</v>
      </c>
      <c r="H25" t="s">
        <v>117</v>
      </c>
      <c r="I25" t="s">
        <v>547</v>
      </c>
    </row>
    <row r="26" spans="1:9">
      <c r="A26" t="s">
        <v>112</v>
      </c>
      <c r="B26" t="s">
        <v>144</v>
      </c>
      <c r="C26" t="s">
        <v>145</v>
      </c>
      <c r="D26" t="s">
        <v>18</v>
      </c>
      <c r="E26">
        <v>12</v>
      </c>
      <c r="F26" t="s">
        <v>107</v>
      </c>
      <c r="G26" t="s">
        <v>162</v>
      </c>
      <c r="H26" t="s">
        <v>147</v>
      </c>
      <c r="I26" t="s">
        <v>548</v>
      </c>
    </row>
    <row r="27" spans="1:9">
      <c r="A27" t="s">
        <v>112</v>
      </c>
      <c r="B27" t="s">
        <v>144</v>
      </c>
      <c r="C27" t="s">
        <v>145</v>
      </c>
      <c r="D27" t="s">
        <v>122</v>
      </c>
      <c r="E27">
        <v>0.97</v>
      </c>
      <c r="F27" t="s">
        <v>107</v>
      </c>
      <c r="G27" t="s">
        <v>162</v>
      </c>
      <c r="H27" t="s">
        <v>143</v>
      </c>
      <c r="I27" t="s">
        <v>549</v>
      </c>
    </row>
    <row r="28" spans="1:9">
      <c r="A28" t="s">
        <v>112</v>
      </c>
      <c r="B28" t="s">
        <v>144</v>
      </c>
      <c r="C28" t="s">
        <v>145</v>
      </c>
      <c r="D28" t="s">
        <v>126</v>
      </c>
      <c r="E28">
        <v>25</v>
      </c>
      <c r="F28" t="s">
        <v>107</v>
      </c>
      <c r="G28" t="s">
        <v>162</v>
      </c>
      <c r="H28" t="s">
        <v>149</v>
      </c>
      <c r="I28" t="s">
        <v>550</v>
      </c>
    </row>
    <row r="29" spans="1:9">
      <c r="A29" t="s">
        <v>112</v>
      </c>
      <c r="B29" t="s">
        <v>144</v>
      </c>
      <c r="C29" t="s">
        <v>145</v>
      </c>
      <c r="D29" t="s">
        <v>551</v>
      </c>
      <c r="E29">
        <v>1.5</v>
      </c>
      <c r="F29" t="s">
        <v>107</v>
      </c>
      <c r="G29" t="s">
        <v>162</v>
      </c>
      <c r="H29" t="s">
        <v>552</v>
      </c>
      <c r="I29" t="s">
        <v>553</v>
      </c>
    </row>
    <row r="30" spans="1:9">
      <c r="A30" t="s">
        <v>112</v>
      </c>
      <c r="B30" t="s">
        <v>150</v>
      </c>
      <c r="C30" t="s">
        <v>151</v>
      </c>
      <c r="D30" t="s">
        <v>15</v>
      </c>
      <c r="E30">
        <v>0.97</v>
      </c>
      <c r="F30" t="s">
        <v>107</v>
      </c>
      <c r="G30" t="s">
        <v>162</v>
      </c>
      <c r="H30" t="s">
        <v>154</v>
      </c>
      <c r="I30" t="s">
        <v>554</v>
      </c>
    </row>
    <row r="31" spans="1:9">
      <c r="A31" t="s">
        <v>112</v>
      </c>
      <c r="B31" t="s">
        <v>150</v>
      </c>
      <c r="C31" t="s">
        <v>151</v>
      </c>
      <c r="D31" t="s">
        <v>18</v>
      </c>
      <c r="E31">
        <v>5</v>
      </c>
      <c r="F31" t="s">
        <v>107</v>
      </c>
      <c r="G31" t="s">
        <v>162</v>
      </c>
      <c r="H31" t="s">
        <v>555</v>
      </c>
      <c r="I31" t="s">
        <v>556</v>
      </c>
    </row>
    <row r="32" spans="1:9">
      <c r="A32" t="s">
        <v>112</v>
      </c>
      <c r="B32" t="s">
        <v>150</v>
      </c>
      <c r="C32" t="s">
        <v>151</v>
      </c>
      <c r="D32" t="s">
        <v>122</v>
      </c>
      <c r="E32">
        <v>0.7</v>
      </c>
      <c r="F32" t="s">
        <v>107</v>
      </c>
      <c r="G32" t="s">
        <v>162</v>
      </c>
      <c r="H32" t="s">
        <v>161</v>
      </c>
      <c r="I32" t="s">
        <v>557</v>
      </c>
    </row>
    <row r="33" spans="1:9">
      <c r="A33" t="s">
        <v>112</v>
      </c>
      <c r="B33" t="s">
        <v>150</v>
      </c>
      <c r="C33" t="s">
        <v>151</v>
      </c>
      <c r="D33" t="s">
        <v>126</v>
      </c>
      <c r="E33">
        <v>25</v>
      </c>
      <c r="F33" t="s">
        <v>107</v>
      </c>
      <c r="G33" t="s">
        <v>162</v>
      </c>
      <c r="H33" t="s">
        <v>149</v>
      </c>
      <c r="I33" t="s">
        <v>558</v>
      </c>
    </row>
    <row r="34" spans="1:9">
      <c r="A34" t="s">
        <v>112</v>
      </c>
      <c r="B34" t="s">
        <v>163</v>
      </c>
      <c r="C34" t="s">
        <v>164</v>
      </c>
      <c r="D34" t="s">
        <v>15</v>
      </c>
      <c r="E34">
        <v>0.97</v>
      </c>
      <c r="F34" t="s">
        <v>107</v>
      </c>
      <c r="G34" t="s">
        <v>162</v>
      </c>
      <c r="H34" t="s">
        <v>154</v>
      </c>
      <c r="I34" t="s">
        <v>559</v>
      </c>
    </row>
    <row r="35" spans="1:9">
      <c r="A35" t="s">
        <v>112</v>
      </c>
      <c r="B35" t="s">
        <v>163</v>
      </c>
      <c r="C35" t="s">
        <v>164</v>
      </c>
      <c r="D35" t="s">
        <v>18</v>
      </c>
      <c r="E35">
        <v>4</v>
      </c>
      <c r="F35" t="s">
        <v>107</v>
      </c>
      <c r="G35" t="s">
        <v>162</v>
      </c>
      <c r="H35" t="s">
        <v>166</v>
      </c>
      <c r="I35" t="s">
        <v>560</v>
      </c>
    </row>
    <row r="36" spans="1:9">
      <c r="A36" t="s">
        <v>112</v>
      </c>
      <c r="B36" t="s">
        <v>163</v>
      </c>
      <c r="C36" t="s">
        <v>164</v>
      </c>
      <c r="D36" t="s">
        <v>122</v>
      </c>
      <c r="E36">
        <v>0.7</v>
      </c>
      <c r="F36" t="s">
        <v>107</v>
      </c>
      <c r="G36" t="s">
        <v>162</v>
      </c>
      <c r="H36" t="s">
        <v>168</v>
      </c>
      <c r="I36" t="s">
        <v>561</v>
      </c>
    </row>
    <row r="37" spans="1:9">
      <c r="A37" t="s">
        <v>112</v>
      </c>
      <c r="B37" t="s">
        <v>163</v>
      </c>
      <c r="C37" t="s">
        <v>164</v>
      </c>
      <c r="D37" t="s">
        <v>126</v>
      </c>
      <c r="E37">
        <v>25</v>
      </c>
      <c r="F37" t="s">
        <v>107</v>
      </c>
      <c r="G37" t="s">
        <v>162</v>
      </c>
      <c r="H37" t="s">
        <v>149</v>
      </c>
      <c r="I37" t="s">
        <v>562</v>
      </c>
    </row>
    <row r="38" spans="1:9">
      <c r="A38" t="s">
        <v>112</v>
      </c>
      <c r="B38" t="s">
        <v>169</v>
      </c>
      <c r="C38" t="s">
        <v>170</v>
      </c>
      <c r="D38" t="s">
        <v>15</v>
      </c>
      <c r="E38">
        <v>0.98</v>
      </c>
      <c r="F38" t="s">
        <v>107</v>
      </c>
      <c r="G38" t="s">
        <v>162</v>
      </c>
      <c r="H38" t="s">
        <v>173</v>
      </c>
      <c r="I38" t="s">
        <v>563</v>
      </c>
    </row>
    <row r="39" spans="1:9">
      <c r="A39" t="s">
        <v>112</v>
      </c>
      <c r="B39" t="s">
        <v>169</v>
      </c>
      <c r="C39" t="s">
        <v>170</v>
      </c>
      <c r="D39" t="s">
        <v>18</v>
      </c>
      <c r="E39">
        <v>25</v>
      </c>
      <c r="F39" t="s">
        <v>107</v>
      </c>
      <c r="G39" t="s">
        <v>162</v>
      </c>
      <c r="H39" t="s">
        <v>176</v>
      </c>
      <c r="I39" t="s">
        <v>564</v>
      </c>
    </row>
    <row r="40" spans="1:9">
      <c r="A40" t="s">
        <v>112</v>
      </c>
      <c r="B40" t="s">
        <v>169</v>
      </c>
      <c r="C40" t="s">
        <v>170</v>
      </c>
      <c r="D40" t="s">
        <v>122</v>
      </c>
      <c r="E40">
        <v>0.95</v>
      </c>
      <c r="F40" t="s">
        <v>107</v>
      </c>
      <c r="G40" t="s">
        <v>162</v>
      </c>
      <c r="H40" t="s">
        <v>180</v>
      </c>
      <c r="I40" t="s">
        <v>565</v>
      </c>
    </row>
    <row r="41" spans="1:9">
      <c r="A41" t="s">
        <v>112</v>
      </c>
      <c r="B41" t="s">
        <v>169</v>
      </c>
      <c r="C41" t="s">
        <v>170</v>
      </c>
      <c r="D41" t="s">
        <v>126</v>
      </c>
      <c r="E41">
        <v>20</v>
      </c>
      <c r="F41" t="s">
        <v>107</v>
      </c>
      <c r="G41" t="s">
        <v>162</v>
      </c>
      <c r="H41" t="s">
        <v>184</v>
      </c>
      <c r="I41" t="s">
        <v>566</v>
      </c>
    </row>
    <row r="42" spans="1:9">
      <c r="A42" t="s">
        <v>112</v>
      </c>
      <c r="B42" t="s">
        <v>186</v>
      </c>
      <c r="C42" t="s">
        <v>187</v>
      </c>
      <c r="D42" t="s">
        <v>15</v>
      </c>
      <c r="E42">
        <v>0.99</v>
      </c>
      <c r="F42" t="s">
        <v>107</v>
      </c>
      <c r="G42" t="s">
        <v>162</v>
      </c>
      <c r="H42" t="s">
        <v>567</v>
      </c>
      <c r="I42" t="s">
        <v>568</v>
      </c>
    </row>
    <row r="43" spans="1:9">
      <c r="A43" t="s">
        <v>112</v>
      </c>
      <c r="B43" t="s">
        <v>186</v>
      </c>
      <c r="C43" t="s">
        <v>187</v>
      </c>
      <c r="D43" t="s">
        <v>18</v>
      </c>
      <c r="E43">
        <v>8</v>
      </c>
      <c r="F43" t="s">
        <v>107</v>
      </c>
      <c r="G43" t="s">
        <v>162</v>
      </c>
      <c r="H43" t="s">
        <v>189</v>
      </c>
      <c r="I43" t="s">
        <v>569</v>
      </c>
    </row>
    <row r="44" spans="1:9">
      <c r="A44" t="s">
        <v>112</v>
      </c>
      <c r="B44" t="s">
        <v>186</v>
      </c>
      <c r="C44" t="s">
        <v>187</v>
      </c>
      <c r="D44" t="s">
        <v>122</v>
      </c>
      <c r="E44">
        <v>0.97</v>
      </c>
      <c r="F44" t="s">
        <v>107</v>
      </c>
      <c r="G44" t="s">
        <v>162</v>
      </c>
      <c r="H44" t="s">
        <v>188</v>
      </c>
      <c r="I44" t="s">
        <v>570</v>
      </c>
    </row>
    <row r="45" spans="1:9">
      <c r="A45" t="s">
        <v>112</v>
      </c>
      <c r="B45" t="s">
        <v>186</v>
      </c>
      <c r="C45" t="s">
        <v>187</v>
      </c>
      <c r="D45" t="s">
        <v>126</v>
      </c>
      <c r="E45">
        <v>25</v>
      </c>
      <c r="F45" t="s">
        <v>107</v>
      </c>
      <c r="G45" t="s">
        <v>162</v>
      </c>
      <c r="H45" t="s">
        <v>149</v>
      </c>
      <c r="I45" t="s">
        <v>571</v>
      </c>
    </row>
    <row r="46" spans="1:9">
      <c r="A46" t="s">
        <v>194</v>
      </c>
      <c r="B46" t="s">
        <v>195</v>
      </c>
      <c r="C46" t="s">
        <v>196</v>
      </c>
      <c r="D46" t="s">
        <v>15</v>
      </c>
      <c r="E46">
        <v>0.85</v>
      </c>
      <c r="F46" t="s">
        <v>107</v>
      </c>
      <c r="G46" t="s">
        <v>162</v>
      </c>
      <c r="H46" t="s">
        <v>572</v>
      </c>
      <c r="I46" t="s">
        <v>573</v>
      </c>
    </row>
    <row r="47" spans="1:9">
      <c r="A47" t="s">
        <v>194</v>
      </c>
      <c r="B47" t="s">
        <v>195</v>
      </c>
      <c r="C47" t="s">
        <v>196</v>
      </c>
      <c r="D47" t="s">
        <v>18</v>
      </c>
      <c r="E47">
        <v>25</v>
      </c>
      <c r="F47" t="s">
        <v>107</v>
      </c>
      <c r="G47" t="s">
        <v>162</v>
      </c>
      <c r="H47" t="s">
        <v>574</v>
      </c>
      <c r="I47" t="s">
        <v>575</v>
      </c>
    </row>
    <row r="48" spans="1:9">
      <c r="A48" t="s">
        <v>194</v>
      </c>
      <c r="B48" t="s">
        <v>576</v>
      </c>
      <c r="C48" t="s">
        <v>577</v>
      </c>
      <c r="D48" t="s">
        <v>15</v>
      </c>
      <c r="E48">
        <v>0.9</v>
      </c>
      <c r="F48" t="s">
        <v>107</v>
      </c>
      <c r="G48" t="s">
        <v>162</v>
      </c>
      <c r="H48" t="s">
        <v>578</v>
      </c>
      <c r="I48" t="s">
        <v>579</v>
      </c>
    </row>
    <row r="49" spans="1:9">
      <c r="A49" t="s">
        <v>194</v>
      </c>
      <c r="B49" t="s">
        <v>576</v>
      </c>
      <c r="C49" t="s">
        <v>577</v>
      </c>
      <c r="D49" t="s">
        <v>18</v>
      </c>
      <c r="E49">
        <v>35</v>
      </c>
      <c r="F49" t="s">
        <v>107</v>
      </c>
      <c r="G49" t="s">
        <v>162</v>
      </c>
      <c r="H49" t="s">
        <v>580</v>
      </c>
      <c r="I49" t="s">
        <v>581</v>
      </c>
    </row>
    <row r="50" spans="1:9">
      <c r="A50" t="s">
        <v>194</v>
      </c>
      <c r="B50" t="s">
        <v>582</v>
      </c>
      <c r="C50" t="s">
        <v>583</v>
      </c>
      <c r="D50" t="s">
        <v>15</v>
      </c>
      <c r="E50">
        <v>0.75</v>
      </c>
      <c r="F50" t="s">
        <v>107</v>
      </c>
      <c r="G50" t="s">
        <v>162</v>
      </c>
      <c r="H50" t="s">
        <v>584</v>
      </c>
      <c r="I50" t="s">
        <v>585</v>
      </c>
    </row>
    <row r="51" spans="1:9">
      <c r="A51" t="s">
        <v>194</v>
      </c>
      <c r="B51" t="s">
        <v>582</v>
      </c>
      <c r="C51" t="s">
        <v>583</v>
      </c>
      <c r="D51" t="s">
        <v>18</v>
      </c>
      <c r="E51">
        <v>45</v>
      </c>
      <c r="F51" t="s">
        <v>107</v>
      </c>
      <c r="G51" t="s">
        <v>162</v>
      </c>
      <c r="H51" t="s">
        <v>586</v>
      </c>
      <c r="I51" t="s">
        <v>587</v>
      </c>
    </row>
    <row r="52" spans="1:9">
      <c r="A52" t="s">
        <v>194</v>
      </c>
      <c r="B52" t="s">
        <v>205</v>
      </c>
      <c r="C52" t="s">
        <v>206</v>
      </c>
      <c r="D52" t="s">
        <v>15</v>
      </c>
      <c r="E52">
        <v>0.88</v>
      </c>
      <c r="F52" t="s">
        <v>107</v>
      </c>
      <c r="G52" t="s">
        <v>162</v>
      </c>
      <c r="H52" t="s">
        <v>588</v>
      </c>
      <c r="I52" t="s">
        <v>589</v>
      </c>
    </row>
    <row r="53" spans="1:9">
      <c r="A53" t="s">
        <v>194</v>
      </c>
      <c r="B53" t="s">
        <v>205</v>
      </c>
      <c r="C53" t="s">
        <v>206</v>
      </c>
      <c r="D53" t="s">
        <v>18</v>
      </c>
      <c r="E53">
        <v>5</v>
      </c>
      <c r="F53" t="s">
        <v>107</v>
      </c>
      <c r="G53" t="s">
        <v>162</v>
      </c>
      <c r="H53" t="s">
        <v>590</v>
      </c>
      <c r="I53" t="s">
        <v>591</v>
      </c>
    </row>
    <row r="54" spans="1:9">
      <c r="A54" t="s">
        <v>194</v>
      </c>
      <c r="B54" t="s">
        <v>214</v>
      </c>
      <c r="C54" t="s">
        <v>215</v>
      </c>
      <c r="D54" t="s">
        <v>15</v>
      </c>
      <c r="E54">
        <v>0.92</v>
      </c>
      <c r="F54" t="s">
        <v>107</v>
      </c>
      <c r="G54" t="s">
        <v>162</v>
      </c>
      <c r="H54" t="s">
        <v>588</v>
      </c>
      <c r="I54" t="s">
        <v>592</v>
      </c>
    </row>
    <row r="55" spans="1:9">
      <c r="A55" t="s">
        <v>194</v>
      </c>
      <c r="B55" t="s">
        <v>214</v>
      </c>
      <c r="C55" t="s">
        <v>215</v>
      </c>
      <c r="D55" t="s">
        <v>18</v>
      </c>
      <c r="E55">
        <v>8</v>
      </c>
      <c r="F55" t="s">
        <v>107</v>
      </c>
      <c r="G55" t="s">
        <v>162</v>
      </c>
      <c r="H55" t="s">
        <v>590</v>
      </c>
      <c r="I55" t="s">
        <v>593</v>
      </c>
    </row>
    <row r="56" spans="1:9">
      <c r="A56" t="s">
        <v>194</v>
      </c>
      <c r="B56" t="s">
        <v>220</v>
      </c>
      <c r="C56" t="s">
        <v>221</v>
      </c>
      <c r="D56" t="s">
        <v>15</v>
      </c>
      <c r="E56">
        <v>0.95</v>
      </c>
      <c r="F56" t="s">
        <v>107</v>
      </c>
      <c r="G56" t="s">
        <v>162</v>
      </c>
      <c r="H56" t="s">
        <v>588</v>
      </c>
      <c r="I56" t="s">
        <v>594</v>
      </c>
    </row>
    <row r="57" spans="1:9">
      <c r="A57" t="s">
        <v>194</v>
      </c>
      <c r="B57" t="s">
        <v>220</v>
      </c>
      <c r="C57" t="s">
        <v>221</v>
      </c>
      <c r="D57" t="s">
        <v>18</v>
      </c>
      <c r="E57">
        <v>12</v>
      </c>
      <c r="F57" t="s">
        <v>107</v>
      </c>
      <c r="G57" t="s">
        <v>162</v>
      </c>
      <c r="H57" t="s">
        <v>590</v>
      </c>
      <c r="I57" t="s">
        <v>595</v>
      </c>
    </row>
    <row r="58" spans="1:9">
      <c r="A58" t="s">
        <v>235</v>
      </c>
      <c r="B58" t="s">
        <v>236</v>
      </c>
      <c r="C58" t="s">
        <v>237</v>
      </c>
      <c r="D58" t="s">
        <v>15</v>
      </c>
      <c r="E58">
        <v>0.8</v>
      </c>
      <c r="F58" t="s">
        <v>107</v>
      </c>
      <c r="G58" t="s">
        <v>162</v>
      </c>
      <c r="H58" t="s">
        <v>240</v>
      </c>
      <c r="I58" t="s">
        <v>596</v>
      </c>
    </row>
    <row r="59" spans="1:9">
      <c r="A59" t="s">
        <v>235</v>
      </c>
      <c r="B59" t="s">
        <v>236</v>
      </c>
      <c r="C59" t="s">
        <v>237</v>
      </c>
      <c r="D59" t="s">
        <v>18</v>
      </c>
      <c r="E59">
        <v>30</v>
      </c>
      <c r="F59" t="s">
        <v>107</v>
      </c>
      <c r="G59" t="s">
        <v>162</v>
      </c>
      <c r="H59" t="s">
        <v>597</v>
      </c>
      <c r="I59" t="s">
        <v>598</v>
      </c>
    </row>
    <row r="60" spans="1:9">
      <c r="A60" t="s">
        <v>235</v>
      </c>
      <c r="B60" t="s">
        <v>246</v>
      </c>
      <c r="C60" t="s">
        <v>247</v>
      </c>
      <c r="D60" t="s">
        <v>15</v>
      </c>
      <c r="E60">
        <v>0.75</v>
      </c>
      <c r="F60" t="s">
        <v>107</v>
      </c>
      <c r="G60" t="s">
        <v>162</v>
      </c>
      <c r="H60" t="s">
        <v>249</v>
      </c>
      <c r="I60" t="s">
        <v>599</v>
      </c>
    </row>
    <row r="61" spans="1:9">
      <c r="A61" t="s">
        <v>235</v>
      </c>
      <c r="B61" t="s">
        <v>246</v>
      </c>
      <c r="D61" t="s">
        <v>18</v>
      </c>
      <c r="E61">
        <v>20</v>
      </c>
      <c r="F61" t="s">
        <v>107</v>
      </c>
      <c r="G61" t="s">
        <v>162</v>
      </c>
      <c r="H61" t="s">
        <v>253</v>
      </c>
      <c r="I61" t="s">
        <v>600</v>
      </c>
    </row>
    <row r="62" spans="1:9">
      <c r="A62" t="s">
        <v>235</v>
      </c>
      <c r="B62" t="s">
        <v>256</v>
      </c>
      <c r="C62" t="s">
        <v>257</v>
      </c>
      <c r="D62" t="s">
        <v>15</v>
      </c>
      <c r="E62">
        <v>0.88</v>
      </c>
      <c r="F62" t="s">
        <v>107</v>
      </c>
      <c r="G62" t="s">
        <v>162</v>
      </c>
      <c r="H62" t="s">
        <v>259</v>
      </c>
      <c r="I62" t="s">
        <v>601</v>
      </c>
    </row>
    <row r="63" spans="1:9">
      <c r="A63" t="s">
        <v>235</v>
      </c>
      <c r="B63" t="s">
        <v>256</v>
      </c>
      <c r="C63" t="s">
        <v>257</v>
      </c>
      <c r="D63" t="s">
        <v>18</v>
      </c>
      <c r="E63">
        <v>25</v>
      </c>
      <c r="F63" t="s">
        <v>107</v>
      </c>
      <c r="G63" t="s">
        <v>162</v>
      </c>
      <c r="H63" t="s">
        <v>261</v>
      </c>
      <c r="I63" t="s">
        <v>602</v>
      </c>
    </row>
    <row r="64" spans="1:9">
      <c r="A64" t="s">
        <v>268</v>
      </c>
      <c r="B64" t="s">
        <v>269</v>
      </c>
      <c r="C64" t="s">
        <v>270</v>
      </c>
      <c r="D64" t="s">
        <v>18</v>
      </c>
      <c r="E64">
        <v>15</v>
      </c>
      <c r="F64" t="s">
        <v>107</v>
      </c>
      <c r="G64" t="s">
        <v>162</v>
      </c>
      <c r="H64" t="s">
        <v>275</v>
      </c>
      <c r="I64" t="s">
        <v>603</v>
      </c>
    </row>
    <row r="65" spans="1:9">
      <c r="A65" t="s">
        <v>268</v>
      </c>
      <c r="B65" t="s">
        <v>277</v>
      </c>
      <c r="C65" t="s">
        <v>278</v>
      </c>
      <c r="D65" t="s">
        <v>15</v>
      </c>
      <c r="E65">
        <v>0.85</v>
      </c>
      <c r="F65" t="s">
        <v>107</v>
      </c>
      <c r="G65" t="s">
        <v>162</v>
      </c>
      <c r="H65" t="s">
        <v>281</v>
      </c>
      <c r="I65" t="s">
        <v>604</v>
      </c>
    </row>
    <row r="66" spans="1:9">
      <c r="A66" t="s">
        <v>268</v>
      </c>
      <c r="B66" t="s">
        <v>277</v>
      </c>
      <c r="C66" t="s">
        <v>278</v>
      </c>
      <c r="D66" t="s">
        <v>605</v>
      </c>
      <c r="E66">
        <v>0.2</v>
      </c>
      <c r="F66" t="s">
        <v>107</v>
      </c>
      <c r="G66" t="s">
        <v>162</v>
      </c>
      <c r="H66" t="s">
        <v>606</v>
      </c>
      <c r="I66" t="s">
        <v>607</v>
      </c>
    </row>
    <row r="67" spans="1:9">
      <c r="A67" t="s">
        <v>268</v>
      </c>
      <c r="B67" t="s">
        <v>277</v>
      </c>
      <c r="C67" t="s">
        <v>278</v>
      </c>
      <c r="D67" t="s">
        <v>18</v>
      </c>
      <c r="E67">
        <v>50</v>
      </c>
      <c r="F67" t="s">
        <v>107</v>
      </c>
      <c r="G67" t="s">
        <v>162</v>
      </c>
      <c r="H67" t="s">
        <v>283</v>
      </c>
      <c r="I67" t="s">
        <v>608</v>
      </c>
    </row>
    <row r="68" spans="1:9">
      <c r="A68" t="s">
        <v>609</v>
      </c>
      <c r="B68" t="s">
        <v>610</v>
      </c>
      <c r="D68" t="s">
        <v>611</v>
      </c>
      <c r="E68">
        <v>0.85</v>
      </c>
      <c r="F68" t="s">
        <v>107</v>
      </c>
      <c r="G68" t="s">
        <v>162</v>
      </c>
      <c r="H68" t="s">
        <v>612</v>
      </c>
      <c r="I68" t="s">
        <v>613</v>
      </c>
    </row>
    <row r="69" spans="1:9">
      <c r="A69" t="s">
        <v>609</v>
      </c>
      <c r="B69" t="s">
        <v>614</v>
      </c>
      <c r="D69" t="s">
        <v>611</v>
      </c>
      <c r="E69">
        <v>3.5000000000000003E-2</v>
      </c>
      <c r="F69" t="s">
        <v>107</v>
      </c>
      <c r="G69" t="s">
        <v>162</v>
      </c>
      <c r="H69" t="s">
        <v>615</v>
      </c>
      <c r="I69" t="s">
        <v>616</v>
      </c>
    </row>
    <row r="70" spans="1:9">
      <c r="A70" t="s">
        <v>609</v>
      </c>
      <c r="B70" t="s">
        <v>617</v>
      </c>
      <c r="D70" t="s">
        <v>618</v>
      </c>
      <c r="E70">
        <v>1.5</v>
      </c>
      <c r="F70" t="s">
        <v>107</v>
      </c>
      <c r="G70" t="s">
        <v>162</v>
      </c>
      <c r="H70" t="s">
        <v>619</v>
      </c>
      <c r="I70" t="s">
        <v>620</v>
      </c>
    </row>
    <row r="71" spans="1:9">
      <c r="A71" t="s">
        <v>609</v>
      </c>
      <c r="B71" t="s">
        <v>621</v>
      </c>
      <c r="D71" t="s">
        <v>611</v>
      </c>
      <c r="E71">
        <v>0.85</v>
      </c>
      <c r="F71" t="s">
        <v>107</v>
      </c>
      <c r="G71" t="s">
        <v>162</v>
      </c>
      <c r="H71" t="s">
        <v>622</v>
      </c>
      <c r="I71" t="s">
        <v>623</v>
      </c>
    </row>
    <row r="72" spans="1:9">
      <c r="A72" t="s">
        <v>609</v>
      </c>
      <c r="B72" t="s">
        <v>624</v>
      </c>
      <c r="D72" t="s">
        <v>611</v>
      </c>
      <c r="E72">
        <v>0.08</v>
      </c>
      <c r="F72" t="s">
        <v>107</v>
      </c>
      <c r="G72" t="s">
        <v>162</v>
      </c>
      <c r="H72" t="s">
        <v>625</v>
      </c>
      <c r="I72" t="s">
        <v>626</v>
      </c>
    </row>
    <row r="73" spans="1:9">
      <c r="A73" t="s">
        <v>609</v>
      </c>
      <c r="B73" t="s">
        <v>627</v>
      </c>
      <c r="D73" t="s">
        <v>611</v>
      </c>
      <c r="E73">
        <v>0.15</v>
      </c>
      <c r="F73" t="s">
        <v>107</v>
      </c>
      <c r="G73" t="s">
        <v>162</v>
      </c>
      <c r="H73" t="s">
        <v>628</v>
      </c>
      <c r="I73" t="s">
        <v>629</v>
      </c>
    </row>
    <row r="74" spans="1:9">
      <c r="A74" t="s">
        <v>609</v>
      </c>
      <c r="B74" t="s">
        <v>630</v>
      </c>
      <c r="D74" t="s">
        <v>611</v>
      </c>
      <c r="E74">
        <v>0.05</v>
      </c>
      <c r="F74" t="s">
        <v>107</v>
      </c>
      <c r="G74" t="s">
        <v>162</v>
      </c>
      <c r="H74" t="s">
        <v>631</v>
      </c>
      <c r="I74" t="s">
        <v>632</v>
      </c>
    </row>
    <row r="75" spans="1:9">
      <c r="A75" t="s">
        <v>609</v>
      </c>
      <c r="B75" t="s">
        <v>633</v>
      </c>
      <c r="D75" t="s">
        <v>611</v>
      </c>
      <c r="E75">
        <v>0.25</v>
      </c>
      <c r="F75" t="s">
        <v>107</v>
      </c>
      <c r="G75" t="s">
        <v>162</v>
      </c>
      <c r="H75" t="s">
        <v>634</v>
      </c>
      <c r="I75" t="s">
        <v>635</v>
      </c>
    </row>
    <row r="76" spans="1:9">
      <c r="A76" t="s">
        <v>609</v>
      </c>
      <c r="B76" t="s">
        <v>636</v>
      </c>
      <c r="D76" t="s">
        <v>611</v>
      </c>
      <c r="E76">
        <v>0.6</v>
      </c>
      <c r="F76" t="s">
        <v>107</v>
      </c>
      <c r="G76" t="s">
        <v>162</v>
      </c>
      <c r="H76" t="s">
        <v>637</v>
      </c>
      <c r="I76" t="s">
        <v>638</v>
      </c>
    </row>
    <row r="77" spans="1:9">
      <c r="A77" t="s">
        <v>609</v>
      </c>
      <c r="B77" t="s">
        <v>639</v>
      </c>
      <c r="D77" t="s">
        <v>611</v>
      </c>
      <c r="E77">
        <v>2E-3</v>
      </c>
      <c r="F77" t="s">
        <v>107</v>
      </c>
      <c r="G77" t="s">
        <v>162</v>
      </c>
      <c r="H77" t="s">
        <v>640</v>
      </c>
      <c r="I77" t="s">
        <v>641</v>
      </c>
    </row>
    <row r="78" spans="1:9">
      <c r="A78" t="s">
        <v>609</v>
      </c>
      <c r="B78" t="s">
        <v>642</v>
      </c>
      <c r="D78" t="s">
        <v>611</v>
      </c>
      <c r="E78">
        <v>0.2</v>
      </c>
      <c r="F78" t="s">
        <v>107</v>
      </c>
      <c r="G78" t="s">
        <v>162</v>
      </c>
      <c r="H78" t="s">
        <v>643</v>
      </c>
      <c r="I78" t="s">
        <v>644</v>
      </c>
    </row>
    <row r="79" spans="1:9">
      <c r="A79" t="s">
        <v>112</v>
      </c>
      <c r="B79" t="s">
        <v>645</v>
      </c>
      <c r="D79" t="s">
        <v>611</v>
      </c>
      <c r="E79">
        <v>0.5</v>
      </c>
      <c r="F79" t="s">
        <v>107</v>
      </c>
      <c r="G79" t="s">
        <v>162</v>
      </c>
      <c r="H79" t="s">
        <v>646</v>
      </c>
      <c r="I79" t="s">
        <v>647</v>
      </c>
    </row>
    <row r="80" spans="1:9">
      <c r="A80" t="s">
        <v>112</v>
      </c>
      <c r="B80" t="s">
        <v>648</v>
      </c>
      <c r="D80" t="s">
        <v>611</v>
      </c>
      <c r="E80">
        <v>0.5</v>
      </c>
      <c r="F80" t="s">
        <v>107</v>
      </c>
      <c r="G80" t="s">
        <v>162</v>
      </c>
      <c r="H80" t="s">
        <v>649</v>
      </c>
      <c r="I80" t="s">
        <v>650</v>
      </c>
    </row>
    <row r="81" spans="1:9">
      <c r="A81" t="s">
        <v>651</v>
      </c>
      <c r="B81" t="s">
        <v>514</v>
      </c>
      <c r="D81" t="s">
        <v>652</v>
      </c>
      <c r="E81">
        <v>0.15</v>
      </c>
      <c r="F81" t="s">
        <v>107</v>
      </c>
      <c r="G81" t="s">
        <v>162</v>
      </c>
      <c r="H81" t="s">
        <v>515</v>
      </c>
      <c r="I81" t="s">
        <v>653</v>
      </c>
    </row>
    <row r="82" spans="1:9">
      <c r="A82" t="s">
        <v>651</v>
      </c>
      <c r="B82" t="s">
        <v>516</v>
      </c>
      <c r="D82" t="s">
        <v>652</v>
      </c>
      <c r="E82">
        <v>0.3</v>
      </c>
      <c r="F82" t="s">
        <v>107</v>
      </c>
      <c r="G82" t="s">
        <v>162</v>
      </c>
      <c r="H82" t="s">
        <v>517</v>
      </c>
      <c r="I82" t="s">
        <v>654</v>
      </c>
    </row>
    <row r="83" spans="1:9">
      <c r="A83" t="s">
        <v>651</v>
      </c>
      <c r="B83" t="s">
        <v>518</v>
      </c>
      <c r="D83" t="s">
        <v>18</v>
      </c>
      <c r="E83">
        <v>200</v>
      </c>
      <c r="F83" t="s">
        <v>107</v>
      </c>
      <c r="G83" t="s">
        <v>162</v>
      </c>
      <c r="H83" t="s">
        <v>519</v>
      </c>
      <c r="I83" t="s">
        <v>655</v>
      </c>
    </row>
    <row r="84" spans="1:9">
      <c r="A84" t="s">
        <v>656</v>
      </c>
      <c r="B84" t="s">
        <v>657</v>
      </c>
      <c r="D84" t="s">
        <v>658</v>
      </c>
      <c r="E84" t="s">
        <v>659</v>
      </c>
      <c r="F84" t="s">
        <v>660</v>
      </c>
      <c r="G84" t="s">
        <v>661</v>
      </c>
      <c r="H84" t="s">
        <v>662</v>
      </c>
      <c r="I84" t="s">
        <v>663</v>
      </c>
    </row>
    <row r="85" spans="1:9">
      <c r="A85" t="s">
        <v>656</v>
      </c>
      <c r="B85" t="s">
        <v>664</v>
      </c>
      <c r="D85" t="s">
        <v>611</v>
      </c>
      <c r="E85" t="s">
        <v>665</v>
      </c>
      <c r="F85" t="s">
        <v>666</v>
      </c>
      <c r="G85" t="s">
        <v>661</v>
      </c>
      <c r="H85" t="s">
        <v>667</v>
      </c>
      <c r="I85" t="s">
        <v>668</v>
      </c>
    </row>
    <row r="86" spans="1:9">
      <c r="A86" t="s">
        <v>656</v>
      </c>
      <c r="B86" t="s">
        <v>669</v>
      </c>
      <c r="D86" t="s">
        <v>670</v>
      </c>
      <c r="E86" t="s">
        <v>671</v>
      </c>
      <c r="F86" t="s">
        <v>666</v>
      </c>
      <c r="G86" t="s">
        <v>661</v>
      </c>
      <c r="H86" t="s">
        <v>672</v>
      </c>
      <c r="I86" t="s">
        <v>673</v>
      </c>
    </row>
    <row r="87" spans="1:9">
      <c r="A87" t="s">
        <v>674</v>
      </c>
      <c r="B87" t="s">
        <v>675</v>
      </c>
      <c r="D87" t="s">
        <v>676</v>
      </c>
      <c r="E87">
        <v>4.4999999999999998E-2</v>
      </c>
      <c r="F87" t="s">
        <v>107</v>
      </c>
      <c r="G87" t="s">
        <v>162</v>
      </c>
      <c r="H87" t="s">
        <v>677</v>
      </c>
      <c r="I87" t="s">
        <v>678</v>
      </c>
    </row>
    <row r="88" spans="1:9">
      <c r="A88" t="s">
        <v>674</v>
      </c>
      <c r="B88" t="s">
        <v>679</v>
      </c>
      <c r="D88" t="s">
        <v>676</v>
      </c>
      <c r="E88">
        <v>8500</v>
      </c>
      <c r="F88" t="s">
        <v>107</v>
      </c>
      <c r="G88" t="s">
        <v>162</v>
      </c>
      <c r="H88" t="s">
        <v>680</v>
      </c>
      <c r="I88" t="s">
        <v>681</v>
      </c>
    </row>
    <row r="89" spans="1:9">
      <c r="A89" t="s">
        <v>674</v>
      </c>
      <c r="B89" t="s">
        <v>682</v>
      </c>
      <c r="D89" t="s">
        <v>676</v>
      </c>
      <c r="E89">
        <v>78</v>
      </c>
      <c r="F89" t="s">
        <v>107</v>
      </c>
      <c r="G89" t="s">
        <v>162</v>
      </c>
      <c r="H89" t="s">
        <v>683</v>
      </c>
      <c r="I89" t="s">
        <v>684</v>
      </c>
    </row>
    <row r="90" spans="1:9">
      <c r="A90" t="s">
        <v>674</v>
      </c>
      <c r="B90" t="s">
        <v>685</v>
      </c>
      <c r="D90" t="s">
        <v>676</v>
      </c>
      <c r="E90">
        <v>0.215</v>
      </c>
      <c r="F90" t="s">
        <v>107</v>
      </c>
      <c r="G90" t="s">
        <v>162</v>
      </c>
      <c r="H90" t="s">
        <v>686</v>
      </c>
      <c r="I90" t="s">
        <v>687</v>
      </c>
    </row>
    <row r="91" spans="1:9">
      <c r="A91" t="s">
        <v>674</v>
      </c>
      <c r="B91" t="s">
        <v>688</v>
      </c>
      <c r="D91" t="s">
        <v>676</v>
      </c>
      <c r="E91">
        <v>1.7999999999999999E-2</v>
      </c>
      <c r="F91" t="s">
        <v>107</v>
      </c>
      <c r="G91" t="s">
        <v>162</v>
      </c>
      <c r="H91" t="s">
        <v>689</v>
      </c>
      <c r="I91" t="s">
        <v>690</v>
      </c>
    </row>
    <row r="92" spans="1:9">
      <c r="A92" t="s">
        <v>691</v>
      </c>
      <c r="B92" t="s">
        <v>692</v>
      </c>
      <c r="D92" t="s">
        <v>693</v>
      </c>
      <c r="E92">
        <v>0.1</v>
      </c>
      <c r="F92" t="s">
        <v>694</v>
      </c>
      <c r="G92" t="s">
        <v>695</v>
      </c>
      <c r="H92" t="s">
        <v>696</v>
      </c>
      <c r="I92" t="s">
        <v>697</v>
      </c>
    </row>
    <row r="93" spans="1:9">
      <c r="A93" t="s">
        <v>691</v>
      </c>
      <c r="B93" t="s">
        <v>698</v>
      </c>
      <c r="D93" t="s">
        <v>693</v>
      </c>
      <c r="E93">
        <v>0</v>
      </c>
      <c r="F93" t="s">
        <v>694</v>
      </c>
      <c r="G93" t="s">
        <v>695</v>
      </c>
      <c r="H93" t="s">
        <v>699</v>
      </c>
      <c r="I93" t="s">
        <v>700</v>
      </c>
    </row>
    <row r="94" spans="1:9">
      <c r="A94" t="s">
        <v>691</v>
      </c>
      <c r="B94" t="s">
        <v>701</v>
      </c>
      <c r="D94" t="s">
        <v>693</v>
      </c>
      <c r="E94">
        <v>0</v>
      </c>
      <c r="F94" t="s">
        <v>694</v>
      </c>
      <c r="G94" t="s">
        <v>695</v>
      </c>
      <c r="H94" t="s">
        <v>702</v>
      </c>
      <c r="I94" t="s">
        <v>703</v>
      </c>
    </row>
    <row r="95" spans="1:9">
      <c r="A95" t="s">
        <v>691</v>
      </c>
      <c r="B95" t="s">
        <v>704</v>
      </c>
      <c r="D95" t="s">
        <v>693</v>
      </c>
      <c r="E95">
        <v>0</v>
      </c>
      <c r="F95" t="s">
        <v>694</v>
      </c>
      <c r="G95" t="s">
        <v>695</v>
      </c>
      <c r="H95" t="s">
        <v>705</v>
      </c>
      <c r="I95" t="s">
        <v>706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Robbert Fokker</dc:creator>
  <cp:keywords/>
  <dc:description/>
  <cp:lastModifiedBy>Guest User</cp:lastModifiedBy>
  <cp:revision/>
  <dcterms:created xsi:type="dcterms:W3CDTF">2026-01-21T08:02:39Z</dcterms:created>
  <dcterms:modified xsi:type="dcterms:W3CDTF">2026-07-21T10:11:46Z</dcterms:modified>
  <cp:category/>
  <cp:contentStatus/>
</cp:coreProperties>
</file>