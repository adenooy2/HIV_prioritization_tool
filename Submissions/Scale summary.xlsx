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Submissions/"/>
    </mc:Choice>
  </mc:AlternateContent>
  <xr:revisionPtr revIDLastSave="0" documentId="8_{5759D780-3FB7-1346-8B5F-890D1F20736E}" xr6:coauthVersionLast="47" xr6:coauthVersionMax="47" xr10:uidLastSave="{00000000-0000-0000-0000-000000000000}"/>
  <bookViews>
    <workbookView xWindow="1560" yWindow="1780" windowWidth="27240" windowHeight="14940" xr2:uid="{18B8B138-094E-AE42-8954-D756218EA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I3" i="1"/>
  <c r="J3" i="1"/>
  <c r="H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F3" i="1"/>
  <c r="G3" i="1"/>
  <c r="E3" i="1"/>
</calcChain>
</file>

<file path=xl/sharedStrings.xml><?xml version="1.0" encoding="utf-8"?>
<sst xmlns="http://schemas.openxmlformats.org/spreadsheetml/2006/main" count="41" uniqueCount="19">
  <si>
    <t>test_network</t>
  </si>
  <si>
    <t>test_facility_general</t>
  </si>
  <si>
    <t>test_index</t>
  </si>
  <si>
    <t>test_community</t>
  </si>
  <si>
    <t>test_kpsti</t>
  </si>
  <si>
    <t>hivst_facility</t>
  </si>
  <si>
    <t>hivst_community</t>
  </si>
  <si>
    <t>country</t>
  </si>
  <si>
    <t>Mozambique</t>
  </si>
  <si>
    <t>Zambia</t>
  </si>
  <si>
    <t>Malawi</t>
  </si>
  <si>
    <t>Baseline</t>
  </si>
  <si>
    <t>15% uniform increase</t>
  </si>
  <si>
    <t>15% uniform decrease</t>
  </si>
  <si>
    <t>1st 95</t>
  </si>
  <si>
    <t>2nd 95</t>
  </si>
  <si>
    <t>3rd 95</t>
  </si>
  <si>
    <t>Mortality</t>
  </si>
  <si>
    <t>Infections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</si>
</sst>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Lucida Sans"/>
      <family val="2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164" fontId="4" fillId="2" borderId="0" xfId="1" applyNumberFormat="1" applyFont="1" applyFill="1" applyBorder="1"/>
    <xf numFmtId="3" fontId="0" fillId="2" borderId="0" xfId="0" applyNumberFormat="1" applyFill="1"/>
    <xf numFmtId="164" fontId="3" fillId="2" borderId="0" xfId="1" applyNumberFormat="1" applyFont="1" applyFill="1" applyBorder="1" applyAlignment="1">
      <alignment horizontal="right" wrapText="1"/>
    </xf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164" fontId="0" fillId="3" borderId="0" xfId="1" applyNumberFormat="1" applyFont="1" applyFill="1" applyBorder="1"/>
    <xf numFmtId="164" fontId="0" fillId="4" borderId="0" xfId="1" applyNumberFormat="1" applyFont="1" applyFill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D1EB-8B7D-694B-AD6A-EE173EAA4F7D}">
  <dimension ref="A1:P16"/>
  <sheetViews>
    <sheetView tabSelected="1" workbookViewId="0">
      <selection activeCell="K17" sqref="K17"/>
    </sheetView>
  </sheetViews>
  <sheetFormatPr baseColWidth="10" defaultRowHeight="16" x14ac:dyDescent="0.2"/>
  <cols>
    <col min="1" max="1" width="19.1640625" bestFit="1" customWidth="1"/>
    <col min="2" max="2" width="11.5" bestFit="1" customWidth="1"/>
    <col min="3" max="3" width="11.33203125" bestFit="1" customWidth="1"/>
    <col min="5" max="5" width="14.6640625" bestFit="1" customWidth="1"/>
    <col min="6" max="7" width="13.6640625" bestFit="1" customWidth="1"/>
    <col min="8" max="10" width="12.6640625" bestFit="1" customWidth="1"/>
  </cols>
  <sheetData>
    <row r="1" spans="1:16" x14ac:dyDescent="0.2">
      <c r="A1" s="25" t="s">
        <v>7</v>
      </c>
      <c r="B1" s="24" t="s">
        <v>11</v>
      </c>
      <c r="C1" s="24"/>
      <c r="D1" s="24"/>
      <c r="E1" s="26" t="s">
        <v>12</v>
      </c>
      <c r="F1" s="26"/>
      <c r="G1" s="26"/>
      <c r="H1" s="27" t="s">
        <v>13</v>
      </c>
      <c r="I1" s="27"/>
      <c r="J1" s="27"/>
      <c r="K1" s="28"/>
      <c r="L1" s="28"/>
      <c r="M1" s="28"/>
    </row>
    <row r="2" spans="1:16" x14ac:dyDescent="0.2">
      <c r="A2" s="25"/>
      <c r="B2" s="2" t="s">
        <v>8</v>
      </c>
      <c r="C2" s="2" t="s">
        <v>9</v>
      </c>
      <c r="D2" s="2" t="s">
        <v>10</v>
      </c>
      <c r="E2" s="7" t="s">
        <v>8</v>
      </c>
      <c r="F2" s="7" t="s">
        <v>9</v>
      </c>
      <c r="G2" s="7" t="s">
        <v>10</v>
      </c>
      <c r="H2" s="9" t="s">
        <v>8</v>
      </c>
      <c r="I2" s="9" t="s">
        <v>9</v>
      </c>
      <c r="J2" s="9" t="s">
        <v>10</v>
      </c>
      <c r="K2" s="7"/>
      <c r="L2" s="7"/>
      <c r="M2" s="7"/>
    </row>
    <row r="3" spans="1:16" x14ac:dyDescent="0.2">
      <c r="A3" s="1" t="s">
        <v>0</v>
      </c>
      <c r="B3" s="3">
        <v>0</v>
      </c>
      <c r="C3" s="3">
        <v>0</v>
      </c>
      <c r="D3" s="4">
        <v>30762</v>
      </c>
      <c r="E3" s="8">
        <f>ROUND(1.15*B3,0)</f>
        <v>0</v>
      </c>
      <c r="F3" s="8">
        <f t="shared" ref="F3:G3" si="0">ROUND(1.15*C3,0)</f>
        <v>0</v>
      </c>
      <c r="G3" s="19">
        <f t="shared" si="0"/>
        <v>35376</v>
      </c>
      <c r="H3" s="20">
        <f>ROUND(0.85*B3,0)</f>
        <v>0</v>
      </c>
      <c r="I3" s="20">
        <f t="shared" ref="I3:J3" si="1">ROUND(0.85*C3,0)</f>
        <v>0</v>
      </c>
      <c r="J3" s="20">
        <f t="shared" si="1"/>
        <v>26148</v>
      </c>
    </row>
    <row r="4" spans="1:16" x14ac:dyDescent="0.2">
      <c r="A4" s="1" t="s">
        <v>1</v>
      </c>
      <c r="B4" s="5">
        <v>11237387</v>
      </c>
      <c r="C4" s="6">
        <v>3671497</v>
      </c>
      <c r="D4" s="4">
        <v>3569803</v>
      </c>
      <c r="E4" s="19">
        <f t="shared" ref="E4:E9" si="2">ROUND(1.15*B4,0)</f>
        <v>12922995</v>
      </c>
      <c r="F4" s="19">
        <f t="shared" ref="F4:F9" si="3">ROUND(1.15*C4,0)</f>
        <v>4222222</v>
      </c>
      <c r="G4" s="19">
        <f t="shared" ref="G4:G9" si="4">ROUND(1.15*D4,0)</f>
        <v>4105273</v>
      </c>
      <c r="H4" s="20">
        <f t="shared" ref="H4:H9" si="5">ROUND(0.85*B4,0)</f>
        <v>9551779</v>
      </c>
      <c r="I4" s="20">
        <f t="shared" ref="I4:I9" si="6">ROUND(0.85*C4,0)</f>
        <v>3120772</v>
      </c>
      <c r="J4" s="20">
        <f t="shared" ref="J4:J9" si="7">ROUND(0.85*D4,0)</f>
        <v>3034333</v>
      </c>
    </row>
    <row r="5" spans="1:16" x14ac:dyDescent="0.2">
      <c r="A5" s="1" t="s">
        <v>2</v>
      </c>
      <c r="B5" s="5">
        <v>630566</v>
      </c>
      <c r="C5" s="6">
        <v>291365</v>
      </c>
      <c r="D5" s="4">
        <v>129230</v>
      </c>
      <c r="E5" s="19">
        <f t="shared" si="2"/>
        <v>725151</v>
      </c>
      <c r="F5" s="19">
        <f t="shared" si="3"/>
        <v>335070</v>
      </c>
      <c r="G5" s="19">
        <f t="shared" si="4"/>
        <v>148615</v>
      </c>
      <c r="H5" s="20">
        <f t="shared" si="5"/>
        <v>535981</v>
      </c>
      <c r="I5" s="20">
        <f t="shared" si="6"/>
        <v>247660</v>
      </c>
      <c r="J5" s="20">
        <f t="shared" si="7"/>
        <v>109846</v>
      </c>
    </row>
    <row r="6" spans="1:16" x14ac:dyDescent="0.2">
      <c r="A6" s="1" t="s">
        <v>3</v>
      </c>
      <c r="B6" s="5">
        <v>1064884</v>
      </c>
      <c r="C6" s="6">
        <v>516869</v>
      </c>
      <c r="D6" s="4">
        <v>129013</v>
      </c>
      <c r="E6" s="19">
        <f t="shared" si="2"/>
        <v>1224617</v>
      </c>
      <c r="F6" s="19">
        <f t="shared" si="3"/>
        <v>594399</v>
      </c>
      <c r="G6" s="19">
        <f t="shared" si="4"/>
        <v>148365</v>
      </c>
      <c r="H6" s="20">
        <f t="shared" si="5"/>
        <v>905151</v>
      </c>
      <c r="I6" s="20">
        <f t="shared" si="6"/>
        <v>439339</v>
      </c>
      <c r="J6" s="20">
        <f t="shared" si="7"/>
        <v>109661</v>
      </c>
    </row>
    <row r="7" spans="1:16" x14ac:dyDescent="0.2">
      <c r="A7" s="1" t="s">
        <v>4</v>
      </c>
      <c r="B7" s="5">
        <v>222182</v>
      </c>
      <c r="C7" s="6">
        <v>0</v>
      </c>
      <c r="D7" s="4">
        <v>513183</v>
      </c>
      <c r="E7" s="19">
        <f t="shared" si="2"/>
        <v>255509</v>
      </c>
      <c r="F7" s="19">
        <f t="shared" si="3"/>
        <v>0</v>
      </c>
      <c r="G7" s="19">
        <f t="shared" si="4"/>
        <v>590160</v>
      </c>
      <c r="H7" s="20">
        <f t="shared" si="5"/>
        <v>188855</v>
      </c>
      <c r="I7" s="20">
        <f t="shared" si="6"/>
        <v>0</v>
      </c>
      <c r="J7" s="20">
        <f t="shared" si="7"/>
        <v>436206</v>
      </c>
    </row>
    <row r="8" spans="1:16" x14ac:dyDescent="0.2">
      <c r="A8" s="1" t="s">
        <v>5</v>
      </c>
      <c r="B8" s="5">
        <v>0</v>
      </c>
      <c r="C8" s="6">
        <v>0</v>
      </c>
      <c r="D8" s="4">
        <v>1741863</v>
      </c>
      <c r="E8" s="19">
        <f t="shared" si="2"/>
        <v>0</v>
      </c>
      <c r="F8" s="19">
        <f t="shared" si="3"/>
        <v>0</v>
      </c>
      <c r="G8" s="19">
        <f t="shared" si="4"/>
        <v>2003142</v>
      </c>
      <c r="H8" s="20">
        <f t="shared" si="5"/>
        <v>0</v>
      </c>
      <c r="I8" s="20">
        <f t="shared" si="6"/>
        <v>0</v>
      </c>
      <c r="J8" s="20">
        <f t="shared" si="7"/>
        <v>1480584</v>
      </c>
    </row>
    <row r="9" spans="1:16" x14ac:dyDescent="0.2">
      <c r="A9" s="1" t="s">
        <v>6</v>
      </c>
      <c r="B9" s="5">
        <v>1322885</v>
      </c>
      <c r="C9" s="6">
        <v>0</v>
      </c>
      <c r="D9" s="4">
        <v>60432</v>
      </c>
      <c r="E9" s="19">
        <f t="shared" si="2"/>
        <v>1521318</v>
      </c>
      <c r="F9" s="19">
        <f t="shared" si="3"/>
        <v>0</v>
      </c>
      <c r="G9" s="19">
        <f t="shared" si="4"/>
        <v>69497</v>
      </c>
      <c r="H9" s="20">
        <f t="shared" si="5"/>
        <v>1124452</v>
      </c>
      <c r="I9" s="20">
        <f t="shared" si="6"/>
        <v>0</v>
      </c>
      <c r="J9" s="20">
        <f t="shared" si="7"/>
        <v>51367</v>
      </c>
    </row>
    <row r="11" spans="1:16" ht="17" thickBot="1" x14ac:dyDescent="0.25"/>
    <row r="12" spans="1:16" x14ac:dyDescent="0.2">
      <c r="B12" s="21" t="s">
        <v>8</v>
      </c>
      <c r="C12" s="22"/>
      <c r="D12" s="22"/>
      <c r="E12" s="22"/>
      <c r="F12" s="23"/>
      <c r="G12" s="21" t="s">
        <v>9</v>
      </c>
      <c r="H12" s="22"/>
      <c r="I12" s="22"/>
      <c r="J12" s="22"/>
      <c r="K12" s="23"/>
      <c r="L12" s="21" t="s">
        <v>10</v>
      </c>
      <c r="M12" s="22"/>
      <c r="N12" s="22"/>
      <c r="O12" s="22"/>
      <c r="P12" s="23"/>
    </row>
    <row r="13" spans="1:16" x14ac:dyDescent="0.2">
      <c r="B13" s="16" t="s">
        <v>14</v>
      </c>
      <c r="C13" s="17" t="s">
        <v>15</v>
      </c>
      <c r="D13" s="17" t="s">
        <v>16</v>
      </c>
      <c r="E13" s="17" t="s">
        <v>17</v>
      </c>
      <c r="F13" s="18" t="s">
        <v>18</v>
      </c>
      <c r="G13" s="16" t="s">
        <v>14</v>
      </c>
      <c r="H13" s="17" t="s">
        <v>15</v>
      </c>
      <c r="I13" s="17" t="s">
        <v>16</v>
      </c>
      <c r="J13" s="17" t="s">
        <v>17</v>
      </c>
      <c r="K13" s="18" t="s">
        <v>18</v>
      </c>
      <c r="L13" s="16" t="s">
        <v>14</v>
      </c>
      <c r="M13" s="17" t="s">
        <v>15</v>
      </c>
      <c r="N13" s="17" t="s">
        <v>16</v>
      </c>
      <c r="O13" s="17" t="s">
        <v>17</v>
      </c>
      <c r="P13" s="18" t="s">
        <v>18</v>
      </c>
    </row>
    <row r="14" spans="1:16" x14ac:dyDescent="0.2">
      <c r="A14" s="3" t="s">
        <v>11</v>
      </c>
      <c r="B14" s="11">
        <v>90.5</v>
      </c>
      <c r="C14">
        <v>95.3</v>
      </c>
      <c r="D14">
        <v>92.6</v>
      </c>
      <c r="E14">
        <v>44391</v>
      </c>
      <c r="F14" s="12">
        <v>91525</v>
      </c>
      <c r="G14" s="11">
        <v>95.6</v>
      </c>
      <c r="H14">
        <v>97.8</v>
      </c>
      <c r="I14">
        <v>98</v>
      </c>
      <c r="J14">
        <v>16336</v>
      </c>
      <c r="K14" s="12">
        <v>30400</v>
      </c>
      <c r="L14" s="11">
        <v>96.4</v>
      </c>
      <c r="M14">
        <v>96.1</v>
      </c>
      <c r="N14">
        <v>95.9</v>
      </c>
      <c r="O14">
        <v>13450</v>
      </c>
      <c r="P14" s="12">
        <v>11757</v>
      </c>
    </row>
    <row r="15" spans="1:16" x14ac:dyDescent="0.2">
      <c r="A15" s="8" t="s">
        <v>12</v>
      </c>
      <c r="B15" s="11">
        <v>0.5</v>
      </c>
      <c r="C15">
        <v>0</v>
      </c>
      <c r="D15">
        <v>0</v>
      </c>
      <c r="E15">
        <v>-0.5</v>
      </c>
      <c r="F15" s="12">
        <v>-1.7</v>
      </c>
      <c r="G15" s="11">
        <v>0.3</v>
      </c>
      <c r="H15">
        <v>0</v>
      </c>
      <c r="I15">
        <v>0</v>
      </c>
      <c r="J15">
        <v>-0.5</v>
      </c>
      <c r="K15" s="12">
        <v>-2.8</v>
      </c>
      <c r="L15" s="11">
        <v>0.2</v>
      </c>
      <c r="M15">
        <v>0</v>
      </c>
      <c r="N15">
        <v>0.1</v>
      </c>
      <c r="O15">
        <v>-0.3</v>
      </c>
      <c r="P15" s="12">
        <v>-1.1000000000000001</v>
      </c>
    </row>
    <row r="16" spans="1:16" ht="17" thickBot="1" x14ac:dyDescent="0.25">
      <c r="A16" s="10" t="s">
        <v>13</v>
      </c>
      <c r="B16" s="13">
        <v>-0.6</v>
      </c>
      <c r="C16" s="14">
        <v>0</v>
      </c>
      <c r="D16" s="14">
        <v>0</v>
      </c>
      <c r="E16" s="14">
        <v>0.5</v>
      </c>
      <c r="F16" s="15">
        <v>1.7</v>
      </c>
      <c r="G16" s="13">
        <v>-0.4</v>
      </c>
      <c r="H16" s="14">
        <v>0</v>
      </c>
      <c r="I16" s="14">
        <v>0</v>
      </c>
      <c r="J16" s="14">
        <v>0.5</v>
      </c>
      <c r="K16" s="15">
        <v>2.8</v>
      </c>
      <c r="L16" s="13">
        <f>-0.5</f>
        <v>-0.5</v>
      </c>
      <c r="M16" s="14">
        <v>0</v>
      </c>
      <c r="N16" s="14">
        <v>0</v>
      </c>
      <c r="O16" s="14">
        <v>0.5</v>
      </c>
      <c r="P16" s="15">
        <v>2.2999999999999998</v>
      </c>
    </row>
  </sheetData>
  <mergeCells count="8">
    <mergeCell ref="B12:F12"/>
    <mergeCell ref="G12:K12"/>
    <mergeCell ref="L12:P12"/>
    <mergeCell ref="B1:D1"/>
    <mergeCell ref="A1:A2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2026-06-24T18:41:35Z</dcterms:created>
  <dcterms:modified xsi:type="dcterms:W3CDTF">2026-07-08T09:22:11Z</dcterms:modified>
</cp:coreProperties>
</file>