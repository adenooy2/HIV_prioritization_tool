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d.docs.live.net/2ae90f5cbd0fd171/AMC/HIV Prioritization tool/HIV_prioritization_tool/resources/TIER/"/>
    </mc:Choice>
  </mc:AlternateContent>
  <xr:revisionPtr revIDLastSave="150" documentId="8_{7FED5F5D-50A6-F84C-81AE-1EC42B6C714A}" xr6:coauthVersionLast="47" xr6:coauthVersionMax="47" xr10:uidLastSave="{9FF64FE1-9AEF-4BA5-AA39-FC9E3C71DCDA}"/>
  <bookViews>
    <workbookView xWindow="1180" yWindow="1500" windowWidth="27240" windowHeight="15020" firstSheet="3" activeTab="3" xr2:uid="{F61A66A6-2BB4-B445-8D7A-81B0E2BBFC2C}"/>
  </bookViews>
  <sheets>
    <sheet name="Treatment" sheetId="2" r:id="rId1"/>
    <sheet name="Testing" sheetId="4" r:id="rId2"/>
    <sheet name="Prevention" sheetId="5" r:id="rId3"/>
    <sheet name="Summary" sheetId="3" r:id="rId4"/>
  </sheets>
  <externalReferences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5" l="1"/>
  <c r="F4" i="5"/>
  <c r="E4" i="5"/>
  <c r="D4" i="5"/>
  <c r="G3" i="5"/>
  <c r="F3" i="5"/>
  <c r="E3" i="5"/>
  <c r="D3" i="5"/>
  <c r="G4" i="4"/>
  <c r="F4" i="4"/>
  <c r="E4" i="4"/>
  <c r="D4" i="4"/>
  <c r="G3" i="4"/>
  <c r="F3" i="4"/>
  <c r="E3" i="4"/>
  <c r="D3" i="4"/>
  <c r="G3" i="2"/>
  <c r="F3" i="2"/>
  <c r="E3" i="2"/>
  <c r="D3" i="2"/>
  <c r="G2" i="2"/>
  <c r="F2" i="2"/>
  <c r="E2" i="2"/>
  <c r="D2" i="2"/>
</calcChain>
</file>

<file path=xl/sharedStrings.xml><?xml version="1.0" encoding="utf-8"?>
<sst xmlns="http://schemas.openxmlformats.org/spreadsheetml/2006/main" count="937" uniqueCount="244">
  <si>
    <t>HIV programme area</t>
  </si>
  <si>
    <t xml:space="preserve">Component </t>
  </si>
  <si>
    <t>Intervention</t>
  </si>
  <si>
    <t>SCENARIO 1</t>
  </si>
  <si>
    <t>SCENARIO 2</t>
  </si>
  <si>
    <t>SCENARIO 3</t>
  </si>
  <si>
    <t>SCENARIO 4</t>
  </si>
  <si>
    <t>Summary</t>
  </si>
  <si>
    <t>Alex Notes</t>
  </si>
  <si>
    <t xml:space="preserve">TREATMENT </t>
  </si>
  <si>
    <t>ART continuity</t>
  </si>
  <si>
    <t xml:space="preserve">Provide uninterrupted ART treatment to ALL people who are already on ART, all populations and all regimens </t>
  </si>
  <si>
    <t>Minimum</t>
  </si>
  <si>
    <t>ART for all</t>
  </si>
  <si>
    <t>Provide a minimum of 3MMD for all, unless clinically unwell (including re-engaging clients) with 6MMD preferred for those established on ART (for all over 5-years of age)</t>
  </si>
  <si>
    <t>MMD</t>
  </si>
  <si>
    <t>Conduct an annual quality clinical review if established on ART and virally suppressed with longest scripting period allowed 6-12 months</t>
  </si>
  <si>
    <t xml:space="preserve">Enroll eligible clients in less-intensive DSD models </t>
  </si>
  <si>
    <t>DSD</t>
  </si>
  <si>
    <t>Sustain individual DSD models based at facilities</t>
  </si>
  <si>
    <t>Sustain individual DSD models for key populations not based at facilities</t>
  </si>
  <si>
    <t>Standard</t>
  </si>
  <si>
    <t xml:space="preserve">Sustain group DSD models managed by clients </t>
  </si>
  <si>
    <t>Optimal</t>
  </si>
  <si>
    <t xml:space="preserve">Sustain group DSD models for adolescents managed by healthcare workers </t>
  </si>
  <si>
    <t>Susatin individual DSD models not based at facilities</t>
  </si>
  <si>
    <t xml:space="preserve">Sustain group DSD models managed by healthcare workers </t>
  </si>
  <si>
    <t>Actively support transfer all clients from facilities that are closing to preferred public sector facility with same day continuation of ART, minimum 3MMD, offer less-intensive DSD model without required transfer documentation</t>
  </si>
  <si>
    <t>Transfers</t>
  </si>
  <si>
    <t xml:space="preserve">Continuity OI prophylaxis </t>
  </si>
  <si>
    <t xml:space="preserve">Provide cotrimoxazole prophylaxis to adults Stage 3 and 4 or CD4 &lt;350. Note recommendation when to stop </t>
  </si>
  <si>
    <t xml:space="preserve">Provide cotrimoxazole tp adults in settings where malaria and/or severe bacterial infections are highly prevalent, co-trimoxazole prophylaxis should beinitiated regardless of CD4 cell count or WHO stage; Note recommendation when to stop </t>
  </si>
  <si>
    <t xml:space="preserve">Provide cotrimoxazole to patients living with HIV and TB </t>
  </si>
  <si>
    <t xml:space="preserve">Provide cotrimoxazole to children living with HIV; Note recommendation on when to stop </t>
  </si>
  <si>
    <t xml:space="preserve">Provide cotrimoxazole to HIV exposed infants; Note recommendation when to stop </t>
  </si>
  <si>
    <t xml:space="preserve">Provide secondary fluconazole prophylaxis (maintenance); Note recommendation on when to stop </t>
  </si>
  <si>
    <t>ART initiation (and re-initiation)</t>
  </si>
  <si>
    <t xml:space="preserve">Initiate children under 5 years </t>
  </si>
  <si>
    <t xml:space="preserve">Initiate pregnant and breastfeeding women </t>
  </si>
  <si>
    <t>Initiate those with clinical signs and symptoms of HIV/AIDS or CD4&lt;200 if known (AHD)</t>
  </si>
  <si>
    <t>Initiate all people testing positive for HIV (new and re-engaging) and transferring</t>
  </si>
  <si>
    <t>Initiate all people testing positive for HIV - stage 3 or 4 or if CD4 known or baseline CD4 (CD4 nadir) below 200/350/500</t>
  </si>
  <si>
    <t>Initiate all people testing positive for HIV  - stage 1 or 2 or if CD4 known or baseline CD4 (CD4 nadir) above 200/350/500</t>
  </si>
  <si>
    <t>Viral load monitoring</t>
  </si>
  <si>
    <t>Provide VL testing for those presenting with signs and symptoms of treatment failure</t>
  </si>
  <si>
    <t>Provide VL testing clients with a previously elevated viral load (VL&gt;1000 copies/ml), perform viral load after 3 months</t>
  </si>
  <si>
    <r>
      <t xml:space="preserve">Provide first viral load to ensure result is available </t>
    </r>
    <r>
      <rPr>
        <b/>
        <sz val="11"/>
        <color theme="1"/>
        <rFont val="Verdana"/>
        <family val="2"/>
      </rPr>
      <t>by</t>
    </r>
    <r>
      <rPr>
        <sz val="11"/>
        <color theme="1"/>
        <rFont val="Verdana"/>
        <family val="2"/>
      </rPr>
      <t xml:space="preserve"> 6 months on ART enabling earlier DSD enrolment (consider at 3 months post initiation)</t>
    </r>
  </si>
  <si>
    <t>Provide first viral load for anyone with no previous VL</t>
  </si>
  <si>
    <t xml:space="preserve">For all pregnant women: If already on ART, provide VL testing at first ANC (if no suppressed VL in the last 3 months) or after 3 months on ART </t>
  </si>
  <si>
    <t>For all pregnant women: Provide VL testing at 34-36 weeks of pregnancy (or latest delivery)</t>
  </si>
  <si>
    <t>For all breastfeeding women, provide viral load testing 3 months after delivery and every 6 months thereafter</t>
  </si>
  <si>
    <t>For clients with low level viraemia (VL&lt;1000 copies/ml), perform repeat VL after 3 months</t>
  </si>
  <si>
    <t>Provide VL annually for those with previous suppressed viral load</t>
  </si>
  <si>
    <t>VL monitoring every 2-3 years once a person has two consecutive suppressed viral loads (when further rationing is required)</t>
  </si>
  <si>
    <t>Provide resistance testing according to national guidelines for regimen change</t>
  </si>
  <si>
    <t xml:space="preserve">OI management </t>
  </si>
  <si>
    <t xml:space="preserve">Provide TB testing with Xpert MTB/Rif all symptomatic </t>
  </si>
  <si>
    <t xml:space="preserve">Provide TB treatment </t>
  </si>
  <si>
    <t>Provide TPT (consider TPT regimen of choice)</t>
  </si>
  <si>
    <t xml:space="preserve">Conduct CRAG testing for symptomatic </t>
  </si>
  <si>
    <t>Provide cryptococcal treatment (consider treatment protocol of choice)</t>
  </si>
  <si>
    <t>AHD package</t>
  </si>
  <si>
    <t>Provide LAM for those with Stage 3,4, seriously unwell IPD</t>
  </si>
  <si>
    <t>Provide CRAG for those with Stage 3, 4, IPD</t>
  </si>
  <si>
    <t>Conduct CD4 testing for those with Stage 3 and 4 (newly diagnosed and more than 90 days late)</t>
  </si>
  <si>
    <t>Conduct CD4 testing for those with Stage 1 and 2 (newly diagnosed and more than 90 days late)</t>
  </si>
  <si>
    <t>Conduct LAM for those with Stage 1 and 2 CD4 &lt;200</t>
  </si>
  <si>
    <t>Conduct CRAG for those with Stage 1 and 2 CD4 &lt;200</t>
  </si>
  <si>
    <t xml:space="preserve">Provide fluconazole for pre-emptive treatment </t>
  </si>
  <si>
    <t xml:space="preserve">Integration </t>
  </si>
  <si>
    <t xml:space="preserve">Conduct PAP smear for those who have never been screened </t>
  </si>
  <si>
    <t xml:space="preserve">Provide HPV screening for those who have never been screened </t>
  </si>
  <si>
    <t>Integrate hypertension management (as per national guidelines)</t>
  </si>
  <si>
    <t>Integrate diabetes management (as per national guidelines)</t>
  </si>
  <si>
    <t>Integrate family planning services (as per national guidelines)</t>
  </si>
  <si>
    <t>Provide cervical cancer screening (NIAC) for women living with HIV annually</t>
  </si>
  <si>
    <t>Tracking and tracing</t>
  </si>
  <si>
    <t xml:space="preserve">Confirm contact details at every clinical visit or ART refill collection </t>
  </si>
  <si>
    <t xml:space="preserve">Conduct phone tracing for clients with abnormal lab results </t>
  </si>
  <si>
    <t>Conduct phone tracing for the following groups who have missed their scheduled appointment by more than 7/14/28 days: those with active OIs, (re)started ART stage 4, CD4 &lt;200, children and adolescents, pregnant and breastfeeding women</t>
  </si>
  <si>
    <t>Conduct phone tracing for all who have missed their scheduled appointment by more than 28 days</t>
  </si>
  <si>
    <t>Condcut home tracing if no response to calls for clients with abnormal lab results</t>
  </si>
  <si>
    <t>Conduct home tracing if not response to phone calls: those with active OIs, (re)started ART stage 4, CD4 &lt;200, children and adolescents, pregnant and breastfeeding women</t>
  </si>
  <si>
    <t>Conduct home tracing if no response to phone calls for all who have missed their scheduled appointment by more than 28 days</t>
  </si>
  <si>
    <t>Psychosocial support/ Counselling</t>
  </si>
  <si>
    <t>Provide ART treatment literacy at ART start (including VL education)</t>
  </si>
  <si>
    <t>Conduct an adherence assessment at clinical review visits</t>
  </si>
  <si>
    <t>Provide viral load education &amp; preparation for DSD model choice by clinician at visit before VL taken</t>
  </si>
  <si>
    <t>Provide enhanced adherence counselling for people with a high VL</t>
  </si>
  <si>
    <t>Support child disclosure counselling processes</t>
  </si>
  <si>
    <t>Conduct mental health screening at ART initiation (if services available)</t>
  </si>
  <si>
    <t>Conduct mental health screening for those with high VL (if services available)</t>
  </si>
  <si>
    <t>Mental health screening for all at clinical visits</t>
  </si>
  <si>
    <t>THIS IS A DRAFT FOR CONSIDERATION AND INPUTS</t>
  </si>
  <si>
    <t xml:space="preserve">TESTING </t>
  </si>
  <si>
    <t>Blood products</t>
  </si>
  <si>
    <t xml:space="preserve">Mandatory screening all blood products </t>
  </si>
  <si>
    <t>Facility-based</t>
  </si>
  <si>
    <t>All people with signs/symptoms of at all facility entry points</t>
  </si>
  <si>
    <t>Ante-natal first visit/ first test</t>
  </si>
  <si>
    <t xml:space="preserve">Ante-natal additional test in third trimester/delivery </t>
  </si>
  <si>
    <r>
      <t xml:space="preserve">Post-natal testing for HIV negative breastfeeding women </t>
    </r>
    <r>
      <rPr>
        <u/>
        <sz val="11"/>
        <color theme="1"/>
        <rFont val="Verdana"/>
        <family val="2"/>
      </rPr>
      <t>all</t>
    </r>
    <r>
      <rPr>
        <sz val="11"/>
        <color theme="1"/>
        <rFont val="Verdana"/>
        <family val="2"/>
      </rPr>
      <t>: 6-monthly until 6-weeks post cessation</t>
    </r>
  </si>
  <si>
    <t xml:space="preserve">HIV exposed infants at 6 weeks and, if breastfeeding, at 6/9- &amp; 18-month EPI visit </t>
  </si>
  <si>
    <t xml:space="preserve">HIV exposed infants additional birth testing </t>
  </si>
  <si>
    <t>TB clients (newly diagnosed)</t>
  </si>
  <si>
    <t>TB clients (presumptive TB)</t>
  </si>
  <si>
    <t>STI clients (new STI)</t>
  </si>
  <si>
    <t xml:space="preserve">Hepatitis B or C (newly diagnosed) </t>
  </si>
  <si>
    <t>Inpatient (new admission)</t>
  </si>
  <si>
    <t>Children in malnutrition clinics</t>
  </si>
  <si>
    <t>Children in immunization services after positive screening for possible exposure + missed 18 month testing</t>
  </si>
  <si>
    <t>All family planning clients at FP initiation</t>
  </si>
  <si>
    <t>All family planning clients under 25 years at initiation and annually thereafter</t>
  </si>
  <si>
    <t>All family planning clients at initiation + every second year + self-reported change in partnership</t>
  </si>
  <si>
    <t>All family planning clients at FP initiation and annually thereafter</t>
  </si>
  <si>
    <t xml:space="preserve">Self-initiated VCT/HIVST collection available (limit to annual/specific risk exposure) </t>
  </si>
  <si>
    <t>VCT/HIVST collection available (any frequency)</t>
  </si>
  <si>
    <t xml:space="preserve">PrEP users: 1 month after oral PrEP (re)initiation, then 6-monthly </t>
  </si>
  <si>
    <t xml:space="preserve">PrEP users: 1 month after oral PrEP (re)initiation, then 3-monthly </t>
  </si>
  <si>
    <t xml:space="preserve">VMMC clients </t>
  </si>
  <si>
    <t>Network-based (including facility/virtual and community-based)</t>
  </si>
  <si>
    <r>
      <rPr>
        <i/>
        <sz val="11"/>
        <color theme="1"/>
        <rFont val="Verdana"/>
        <family val="2"/>
      </rPr>
      <t>Newly diagnosed client</t>
    </r>
    <r>
      <rPr>
        <sz val="11"/>
        <color theme="1"/>
        <rFont val="Verdana"/>
        <family val="2"/>
      </rPr>
      <t>: Sexual partner testing</t>
    </r>
    <r>
      <rPr>
        <u/>
        <sz val="11"/>
        <color theme="1"/>
        <rFont val="Verdana"/>
        <family val="2"/>
      </rPr>
      <t xml:space="preserve"> utilizing enhanced passive notification with HIVST kit/s provision</t>
    </r>
    <r>
      <rPr>
        <sz val="11"/>
        <color theme="1"/>
        <rFont val="Verdana"/>
        <family val="2"/>
      </rPr>
      <t xml:space="preserve"> and available facility-based testing</t>
    </r>
  </si>
  <si>
    <r>
      <rPr>
        <i/>
        <sz val="11"/>
        <color theme="1"/>
        <rFont val="Verdana"/>
        <family val="2"/>
      </rPr>
      <t>Newly diagnosed client</t>
    </r>
    <r>
      <rPr>
        <sz val="11"/>
        <color theme="1"/>
        <rFont val="Verdana"/>
        <family val="2"/>
      </rPr>
      <t xml:space="preserve">: Sexual partner testing </t>
    </r>
    <r>
      <rPr>
        <u/>
        <sz val="11"/>
        <color theme="1"/>
        <rFont val="Verdana"/>
        <family val="2"/>
      </rPr>
      <t xml:space="preserve">utilizing provider-assisted notification for facility based testing </t>
    </r>
    <r>
      <rPr>
        <sz val="11"/>
        <color theme="1"/>
        <rFont val="Verdana"/>
        <family val="2"/>
      </rPr>
      <t>(consider centralized/virtual notification and HIVST collection at ART DSD points)</t>
    </r>
  </si>
  <si>
    <r>
      <rPr>
        <i/>
        <sz val="11"/>
        <color theme="1"/>
        <rFont val="Verdana"/>
        <family val="2"/>
      </rPr>
      <t>Newly diagnosed client</t>
    </r>
    <r>
      <rPr>
        <sz val="11"/>
        <color theme="1"/>
        <rFont val="Verdana"/>
        <family val="2"/>
      </rPr>
      <t xml:space="preserve">: Sexual partner testing </t>
    </r>
    <r>
      <rPr>
        <u/>
        <sz val="11"/>
        <color theme="1"/>
        <rFont val="Verdana"/>
        <family val="2"/>
      </rPr>
      <t>utilizing provider-assisted notification with provision of testing in community</t>
    </r>
  </si>
  <si>
    <r>
      <rPr>
        <i/>
        <sz val="11"/>
        <color theme="1"/>
        <rFont val="Verdana"/>
        <family val="2"/>
      </rPr>
      <t>Newly diagnosed female client</t>
    </r>
    <r>
      <rPr>
        <sz val="11"/>
        <color theme="1"/>
        <rFont val="Verdana"/>
        <family val="2"/>
      </rPr>
      <t xml:space="preserve">: Biological children </t>
    </r>
    <r>
      <rPr>
        <u/>
        <sz val="11"/>
        <color theme="1"/>
        <rFont val="Verdana"/>
        <family val="2"/>
      </rPr>
      <t>facility-based testing or HIVST by caregiver</t>
    </r>
  </si>
  <si>
    <r>
      <rPr>
        <i/>
        <sz val="11"/>
        <color theme="1"/>
        <rFont val="Verdana"/>
        <family val="2"/>
      </rPr>
      <t>Newly diagnosed female client</t>
    </r>
    <r>
      <rPr>
        <sz val="11"/>
        <color theme="1"/>
        <rFont val="Verdana"/>
        <family val="2"/>
      </rPr>
      <t>: Biological children in community</t>
    </r>
  </si>
  <si>
    <r>
      <rPr>
        <i/>
        <sz val="11"/>
        <color theme="1"/>
        <rFont val="Verdana"/>
        <family val="2"/>
      </rPr>
      <t>ART client with VL&gt;1000 or re-engaging after 3 months+ interruption</t>
    </r>
    <r>
      <rPr>
        <sz val="11"/>
        <color theme="1"/>
        <rFont val="Verdana"/>
        <family val="2"/>
      </rPr>
      <t xml:space="preserve">: Sexual partner testing </t>
    </r>
    <r>
      <rPr>
        <u/>
        <sz val="11"/>
        <color theme="1"/>
        <rFont val="Verdana"/>
        <family val="2"/>
      </rPr>
      <t>utilizing enhanced passive notification with HIVST kit/s provision</t>
    </r>
  </si>
  <si>
    <r>
      <rPr>
        <i/>
        <sz val="11"/>
        <color theme="1"/>
        <rFont val="Verdana"/>
        <family val="2"/>
      </rPr>
      <t xml:space="preserve">New family planning/ANC client </t>
    </r>
    <r>
      <rPr>
        <i/>
        <u/>
        <sz val="11"/>
        <color theme="1"/>
        <rFont val="Verdana"/>
        <family val="2"/>
      </rPr>
      <t>&lt;25 years</t>
    </r>
    <r>
      <rPr>
        <sz val="11"/>
        <color theme="1"/>
        <rFont val="Verdana"/>
        <family val="2"/>
      </rPr>
      <t>: Sexual partner testing utilizing enhanced passive notification with HIVST kit/s provision</t>
    </r>
  </si>
  <si>
    <r>
      <rPr>
        <i/>
        <sz val="11"/>
        <color theme="1"/>
        <rFont val="Verdana"/>
        <family val="2"/>
      </rPr>
      <t xml:space="preserve">New family planning/ANC client </t>
    </r>
    <r>
      <rPr>
        <i/>
        <u/>
        <sz val="11"/>
        <color theme="1"/>
        <rFont val="Verdana"/>
        <family val="2"/>
      </rPr>
      <t>all</t>
    </r>
    <r>
      <rPr>
        <sz val="11"/>
        <color theme="1"/>
        <rFont val="Verdana"/>
        <family val="2"/>
      </rPr>
      <t>: Sexual partner testing utilizing enhanced passive notification with HIVST kit/s provision</t>
    </r>
  </si>
  <si>
    <r>
      <rPr>
        <i/>
        <sz val="11"/>
        <color theme="1"/>
        <rFont val="Verdana"/>
        <family val="2"/>
      </rPr>
      <t xml:space="preserve">Newly diagnosed/on ART </t>
    </r>
    <r>
      <rPr>
        <i/>
        <u/>
        <sz val="11"/>
        <color theme="1"/>
        <rFont val="Verdana"/>
        <family val="2"/>
      </rPr>
      <t>key population individuals</t>
    </r>
    <r>
      <rPr>
        <sz val="11"/>
        <color theme="1"/>
        <rFont val="Verdana"/>
        <family val="2"/>
      </rPr>
      <t xml:space="preserve">: Streamlined social network testing with HIVST kits for distribution </t>
    </r>
  </si>
  <si>
    <r>
      <rPr>
        <i/>
        <sz val="11"/>
        <color theme="1"/>
        <rFont val="Verdana"/>
        <family val="2"/>
      </rPr>
      <t xml:space="preserve">Newly diagnosed/on ART </t>
    </r>
    <r>
      <rPr>
        <i/>
        <u/>
        <sz val="11"/>
        <color theme="1"/>
        <rFont val="Verdana"/>
        <family val="2"/>
      </rPr>
      <t>AGYW</t>
    </r>
    <r>
      <rPr>
        <sz val="11"/>
        <color theme="1"/>
        <rFont val="Verdana"/>
        <family val="2"/>
      </rPr>
      <t xml:space="preserve">: Streamlined social network testing with HIVST kits for distribution </t>
    </r>
  </si>
  <si>
    <r>
      <rPr>
        <i/>
        <sz val="11"/>
        <color theme="1"/>
        <rFont val="Verdana"/>
        <family val="2"/>
      </rPr>
      <t xml:space="preserve">STI clients </t>
    </r>
    <r>
      <rPr>
        <i/>
        <u/>
        <sz val="11"/>
        <color theme="1"/>
        <rFont val="Verdana"/>
        <family val="2"/>
      </rPr>
      <t>from 95s gap populations</t>
    </r>
    <r>
      <rPr>
        <i/>
        <sz val="11"/>
        <color theme="1"/>
        <rFont val="Verdana"/>
        <family val="2"/>
      </rPr>
      <t xml:space="preserve"> with HIV negative result:</t>
    </r>
    <r>
      <rPr>
        <sz val="11"/>
        <color theme="1"/>
        <rFont val="Verdana"/>
        <family val="2"/>
      </rPr>
      <t xml:space="preserve"> Sexual partner testing utilizing enhanced passive notification with HIVST kit/s provision</t>
    </r>
  </si>
  <si>
    <t>Not applicable</t>
  </si>
  <si>
    <r>
      <rPr>
        <i/>
        <sz val="11"/>
        <color theme="1"/>
        <rFont val="Verdana"/>
        <family val="2"/>
      </rPr>
      <t>STI clients</t>
    </r>
    <r>
      <rPr>
        <i/>
        <u/>
        <sz val="11"/>
        <color theme="1"/>
        <rFont val="Verdana"/>
        <family val="2"/>
      </rPr>
      <t xml:space="preserve"> with HIV negative result</t>
    </r>
    <r>
      <rPr>
        <i/>
        <sz val="11"/>
        <color theme="1"/>
        <rFont val="Verdana"/>
        <family val="2"/>
      </rPr>
      <t>:</t>
    </r>
    <r>
      <rPr>
        <sz val="11"/>
        <color theme="1"/>
        <rFont val="Verdana"/>
        <family val="2"/>
      </rPr>
      <t xml:space="preserve"> Sexual partner testing utilizing enhanced passive notification with HIVST kit/s provision</t>
    </r>
  </si>
  <si>
    <r>
      <rPr>
        <i/>
        <sz val="11"/>
        <color theme="1"/>
        <rFont val="Verdana"/>
        <family val="2"/>
      </rPr>
      <t>STI clients</t>
    </r>
    <r>
      <rPr>
        <i/>
        <u/>
        <sz val="11"/>
        <color theme="1"/>
        <rFont val="Verdana"/>
        <family val="2"/>
      </rPr>
      <t xml:space="preserve"> with HIV negative result</t>
    </r>
    <r>
      <rPr>
        <i/>
        <sz val="11"/>
        <color theme="1"/>
        <rFont val="Verdana"/>
        <family val="2"/>
      </rPr>
      <t>:</t>
    </r>
    <r>
      <rPr>
        <sz val="11"/>
        <color theme="1"/>
        <rFont val="Verdana"/>
        <family val="2"/>
      </rPr>
      <t xml:space="preserve"> Sexual partner testing utilizing provider-assisted notification for facility-based testing (consider centralized/virtual)</t>
    </r>
  </si>
  <si>
    <t>Community-based (virtual and in-person)</t>
  </si>
  <si>
    <r>
      <rPr>
        <i/>
        <sz val="11"/>
        <color theme="1"/>
        <rFont val="Verdana"/>
        <family val="2"/>
      </rPr>
      <t>All populations &gt;15 years</t>
    </r>
    <r>
      <rPr>
        <sz val="11"/>
        <color theme="1"/>
        <rFont val="Verdana"/>
        <family val="2"/>
      </rPr>
      <t>: Community-based HIVST collection points after self-managed HTS virtual registration (limited to annual)</t>
    </r>
  </si>
  <si>
    <r>
      <rPr>
        <i/>
        <sz val="11"/>
        <color theme="1"/>
        <rFont val="Verdana"/>
        <family val="2"/>
      </rPr>
      <t>All 95 gap populations</t>
    </r>
    <r>
      <rPr>
        <sz val="11"/>
        <color theme="1"/>
        <rFont val="Verdana"/>
        <family val="2"/>
      </rPr>
      <t>: Community-based HIVST collection points after self-managed HTS virtual registration (limited to annual)</t>
    </r>
  </si>
  <si>
    <r>
      <rPr>
        <i/>
        <sz val="11"/>
        <color theme="1"/>
        <rFont val="Verdana"/>
        <family val="2"/>
      </rPr>
      <t>Key populations</t>
    </r>
    <r>
      <rPr>
        <sz val="11"/>
        <color theme="1"/>
        <rFont val="Verdana"/>
        <family val="2"/>
      </rPr>
      <t>: Community-based HIVST collection points after self-managed HTS virtual registration (limited to annual)</t>
    </r>
  </si>
  <si>
    <t>Aligned targeting/segmentation social media + previous outreach sites advertising of the virtual HIVST access platform</t>
  </si>
  <si>
    <r>
      <rPr>
        <i/>
        <sz val="11"/>
        <color theme="1"/>
        <rFont val="Verdana"/>
        <family val="2"/>
      </rPr>
      <t>Key populations:</t>
    </r>
    <r>
      <rPr>
        <sz val="11"/>
        <color theme="1"/>
        <rFont val="Verdana"/>
        <family val="2"/>
      </rPr>
      <t xml:space="preserve"> High volume outreach points and drop in centres run by community-based organizations </t>
    </r>
  </si>
  <si>
    <r>
      <rPr>
        <i/>
        <sz val="11"/>
        <color theme="1"/>
        <rFont val="Verdana"/>
        <family val="2"/>
      </rPr>
      <t>Key populations:</t>
    </r>
    <r>
      <rPr>
        <sz val="11"/>
        <color theme="1"/>
        <rFont val="Verdana"/>
        <family val="2"/>
      </rPr>
      <t xml:space="preserve"> All previous outreach points and drop in centres run by community-based organizations </t>
    </r>
  </si>
  <si>
    <r>
      <rPr>
        <i/>
        <sz val="11"/>
        <color theme="1"/>
        <rFont val="Verdana"/>
        <family val="2"/>
      </rPr>
      <t>AGYW</t>
    </r>
    <r>
      <rPr>
        <sz val="11"/>
        <color theme="1"/>
        <rFont val="Verdana"/>
        <family val="2"/>
      </rPr>
      <t>: Targeted outreach HTS (educational facilities, youth centres)</t>
    </r>
  </si>
  <si>
    <r>
      <rPr>
        <i/>
        <sz val="11"/>
        <color theme="1"/>
        <rFont val="Verdana"/>
        <family val="2"/>
      </rPr>
      <t>Men</t>
    </r>
    <r>
      <rPr>
        <sz val="11"/>
        <color theme="1"/>
        <rFont val="Verdana"/>
        <family val="2"/>
      </rPr>
      <t>: Targeted outreach HTS (congregant settings - transport hubs, bars)</t>
    </r>
  </si>
  <si>
    <r>
      <rPr>
        <i/>
        <sz val="11"/>
        <color theme="1"/>
        <rFont val="Verdana"/>
        <family val="2"/>
      </rPr>
      <t>Men</t>
    </r>
    <r>
      <rPr>
        <sz val="11"/>
        <color theme="1"/>
        <rFont val="Verdana"/>
        <family val="2"/>
      </rPr>
      <t>: Worksplace testing funded and provided by workplaces</t>
    </r>
  </si>
  <si>
    <r>
      <rPr>
        <i/>
        <sz val="11"/>
        <color theme="1"/>
        <rFont val="Verdana"/>
        <family val="2"/>
      </rPr>
      <t>Children</t>
    </r>
    <r>
      <rPr>
        <sz val="11"/>
        <color theme="1"/>
        <rFont val="Verdana"/>
        <family val="2"/>
      </rPr>
      <t>: Targeted outreach HTS (e.g. orphanages/places of safety)</t>
    </r>
  </si>
  <si>
    <r>
      <rPr>
        <i/>
        <sz val="11"/>
        <color theme="1"/>
        <rFont val="Verdana"/>
        <family val="2"/>
      </rPr>
      <t>Prisoners:</t>
    </r>
    <r>
      <rPr>
        <sz val="11"/>
        <color theme="1"/>
        <rFont val="Verdana"/>
        <family val="2"/>
      </rPr>
      <t xml:space="preserve"> On entry/discharge</t>
    </r>
  </si>
  <si>
    <r>
      <rPr>
        <i/>
        <sz val="11"/>
        <color theme="1"/>
        <rFont val="Verdana"/>
        <family val="2"/>
      </rPr>
      <t>Prisoners</t>
    </r>
    <r>
      <rPr>
        <sz val="11"/>
        <color theme="1"/>
        <rFont val="Verdana"/>
        <family val="2"/>
      </rPr>
      <t>: On entry/discharge and annually</t>
    </r>
  </si>
  <si>
    <t>ABYM: Targeted outreach HTS (educational facilities, youth centres)</t>
  </si>
  <si>
    <t xml:space="preserve">Recency testing </t>
  </si>
  <si>
    <t>Recency testing</t>
  </si>
  <si>
    <t>Discontinue</t>
  </si>
  <si>
    <t>PREVENTION</t>
  </si>
  <si>
    <t>Infant prophylaxis</t>
  </si>
  <si>
    <t xml:space="preserve">Infant prophylaxis (AZT and NVP); High risk first 6 weeks </t>
  </si>
  <si>
    <t xml:space="preserve">Infant prophylaxis (AZT or NVP); High risk weeks 6-12 </t>
  </si>
  <si>
    <t>Infant prophylaxis (AZT or NVP); Low risk</t>
  </si>
  <si>
    <t>PEP</t>
  </si>
  <si>
    <t>Facility-based post exposure prophylaxis (PEP) as per national guidance</t>
  </si>
  <si>
    <t>Community-based PEP availability - GBV services, maintained community-based KP services</t>
  </si>
  <si>
    <t>Condoms</t>
  </si>
  <si>
    <t>Facility-based condom (and lubricant) availability</t>
  </si>
  <si>
    <t>Community collection points for condom (and lubricant) for key populations</t>
  </si>
  <si>
    <t>Community collection points for condom (and lubricant) for all populations</t>
  </si>
  <si>
    <t>PrEP continuation</t>
  </si>
  <si>
    <t>Facility based oral PrEP maintenance for key populations, known sero discordant where VL of partner with regular use - minimum 3MMD with testing every 6 months (including with HIVTST)</t>
  </si>
  <si>
    <t>Facility based oral PrEP maintenance for pregnant and breastfeeding women- minimum 3MMD with testing every 6 months (including with HIVTST)</t>
  </si>
  <si>
    <t>Facility based oral PrEP maintenance for other populations with regular use - minimum 3MMD with testing every 6 months (including with HIVTST)</t>
  </si>
  <si>
    <t>Annual clinical PrEP review for PrEP maintenance for those with regular use, including STI screening and treatment and HIV test</t>
  </si>
  <si>
    <t>6-monthly clinical PrEP review for PrEP maintenance for those with regular use</t>
  </si>
  <si>
    <t>Individual DSD models based at facilities for PrEP maintenance</t>
  </si>
  <si>
    <t xml:space="preserve">Individual out-of-facility PrEP maintenance (through existing and maintained out-of-facility DSD treatment locations), including refill collection and HIVST </t>
  </si>
  <si>
    <t>Provide PrEP refills throught virtual delivery models</t>
  </si>
  <si>
    <t xml:space="preserve">Adherence and behaviour risk reduction counselling at every clinical visit </t>
  </si>
  <si>
    <t>Provide continuation of dapivirine vaginal ring for PrEP</t>
  </si>
  <si>
    <t xml:space="preserve">Provide contunation of  long-acting injectable HIV prevention modalities </t>
  </si>
  <si>
    <t>PrEP initiation (&amp; re-initiation)</t>
  </si>
  <si>
    <t>Oral PrEP initiation for pregnant and breastfeeding women self-identifying vulnerability (no risk assessments)</t>
  </si>
  <si>
    <t>Oral PrEP initiation for all at risk pregnant and breastfeeding women</t>
  </si>
  <si>
    <t>Oral PrEP initiation for key populations</t>
  </si>
  <si>
    <t>Oral PrEP initiation for AGYW self-identifying vulnerability (no risk assessments)</t>
  </si>
  <si>
    <t>Oral PrEP initiation for other populations self-identifying vulnerability (no risk assessments)</t>
  </si>
  <si>
    <t>HIV testing (rapid or HIVST) 1-3 months after initiation for missed acute infection</t>
  </si>
  <si>
    <t>PrEP demand creation for those who are eligible</t>
  </si>
  <si>
    <t xml:space="preserve">Provide contunation of long-acting injectable HIV prevention modalities </t>
  </si>
  <si>
    <t xml:space="preserve">PrEP education and risk reduction counselling at PrEP initiation </t>
  </si>
  <si>
    <t>Harm reduction for people who inject drugs</t>
  </si>
  <si>
    <t>Sterile needles, syringes and naloxone for collection in the following order: facility-based services, existing maintained out-of-facility DSD collection points or KP services</t>
  </si>
  <si>
    <t>Sterile needles and syringes and naloxone in the following order: Community locations where community members can collect and distribute, community outreach locations</t>
  </si>
  <si>
    <t>Continuation of OAMT refills to people who inject drugs already initiated on ART</t>
  </si>
  <si>
    <t xml:space="preserve">Initiation and continuation of OAMT refills to people who inject drugs </t>
  </si>
  <si>
    <t>VMMC</t>
  </si>
  <si>
    <t>Integrated VMMC services in settings/districts with high HIV prevlance and low circumcision prevalence</t>
  </si>
  <si>
    <t>Generally, I looked at scenario 3 and took most minimums and some standards. Also grouped some into broader packages</t>
  </si>
  <si>
    <t>Adult Infections</t>
  </si>
  <si>
    <t>Infant infections</t>
  </si>
  <si>
    <t>1st 90 (diagnosis )</t>
  </si>
  <si>
    <t>2nd 90 (treatment)</t>
  </si>
  <si>
    <t>3rd 90 (suppression)</t>
  </si>
  <si>
    <t>Mortality</t>
  </si>
  <si>
    <t xml:space="preserve">ART continuity </t>
  </si>
  <si>
    <t>X</t>
  </si>
  <si>
    <r>
      <rPr>
        <sz val="12"/>
        <color rgb="FF000000"/>
        <rFont val="Aptos Narrow"/>
        <scheme val="minor"/>
      </rPr>
      <t xml:space="preserve">ART provision I assumed impacted new infections? </t>
    </r>
    <r>
      <rPr>
        <sz val="12"/>
        <color rgb="FFFF0000"/>
        <rFont val="Aptos Narrow"/>
        <scheme val="minor"/>
      </rPr>
      <t>100%</t>
    </r>
  </si>
  <si>
    <t>I removed infant infections though, since we separate out ANC stuff below (and viral load would affect</t>
  </si>
  <si>
    <t>Provision of ART for all</t>
  </si>
  <si>
    <r>
      <rPr>
        <sz val="12"/>
        <color rgb="FF000000"/>
        <rFont val="Aptos Narrow"/>
        <scheme val="minor"/>
      </rPr>
      <t xml:space="preserve">Although its more viral suppression that does- </t>
    </r>
    <r>
      <rPr>
        <sz val="12"/>
        <color rgb="FFFF0000"/>
        <rFont val="Aptos Narrow"/>
        <scheme val="minor"/>
      </rPr>
      <t>yes, true</t>
    </r>
  </si>
  <si>
    <t>VL when signs/symptoms of failure</t>
  </si>
  <si>
    <t>Not sure if VL can bre broken down?</t>
  </si>
  <si>
    <t>VL for DSD initiation</t>
  </si>
  <si>
    <t>VL annually or every 2/3 years if consecutively suppressed</t>
  </si>
  <si>
    <t>Impact will differ based on prevalence</t>
  </si>
  <si>
    <t>Covered in the AHD package</t>
  </si>
  <si>
    <t>I'm not quite sure the best way to handle the lab tests</t>
  </si>
  <si>
    <t xml:space="preserve">Conduct CD4 testing </t>
  </si>
  <si>
    <t>Crag I think</t>
  </si>
  <si>
    <t>Might remove this section</t>
  </si>
  <si>
    <t>Phone tracing</t>
  </si>
  <si>
    <t>Home Tracing</t>
  </si>
  <si>
    <t>Maybe could exclude? Just do tracing total</t>
  </si>
  <si>
    <t>Mental Health support</t>
  </si>
  <si>
    <t>Adherence counselling</t>
  </si>
  <si>
    <t>Facility patient education</t>
  </si>
  <si>
    <t>Not sure whether to rather do these like your interventions?</t>
  </si>
  <si>
    <t>Community-based</t>
  </si>
  <si>
    <t>Significant grouping of the TIER ones</t>
  </si>
  <si>
    <t>Key populations and STI</t>
  </si>
  <si>
    <t>This one might be hard to parameterize on short timelines</t>
  </si>
  <si>
    <t>HIVST (Facility-based)</t>
  </si>
  <si>
    <t>Maybe facility-based or community-based</t>
  </si>
  <si>
    <t>HIVST (community-based)</t>
  </si>
  <si>
    <t>PEP (facility based, GBV and KP services)</t>
  </si>
  <si>
    <t>Condom Availability</t>
  </si>
  <si>
    <t>PrEP initiation and continuation</t>
  </si>
  <si>
    <t>Oral</t>
  </si>
  <si>
    <t>Cab-LA</t>
  </si>
  <si>
    <t>Lenacapavir</t>
  </si>
  <si>
    <t>Harm reduction for people who inject drugs (facility based or existing KP services)</t>
  </si>
  <si>
    <t>I think maybe not relevant enough for a general model...</t>
  </si>
  <si>
    <t>VMMC (esp. areas with high HIV prev and low circumcision prev)</t>
  </si>
  <si>
    <t>Setting dependent</t>
  </si>
  <si>
    <t>ANC services</t>
  </si>
  <si>
    <t>HIV testing</t>
  </si>
  <si>
    <t>I separated some of the ANC services out? Maybe only EID?</t>
  </si>
  <si>
    <t>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</si>
</sst>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Aptos Narrow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sz val="11"/>
      <name val="Verdana"/>
      <family val="2"/>
    </font>
    <font>
      <b/>
      <sz val="12"/>
      <color theme="0"/>
      <name val="Verdana"/>
      <family val="2"/>
    </font>
    <font>
      <b/>
      <sz val="12"/>
      <color theme="1"/>
      <name val="Aptos Narrow"/>
      <scheme val="minor"/>
    </font>
    <font>
      <u/>
      <sz val="11"/>
      <color theme="1"/>
      <name val="Verdana"/>
      <family val="2"/>
    </font>
    <font>
      <i/>
      <sz val="11"/>
      <color theme="1"/>
      <name val="Verdana"/>
      <family val="2"/>
    </font>
    <font>
      <i/>
      <u/>
      <sz val="11"/>
      <color theme="1"/>
      <name val="Verdana"/>
      <family val="2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  <font>
      <sz val="12"/>
      <color rgb="FFFF0000"/>
      <name val="Aptos Narrow"/>
      <scheme val="minor"/>
    </font>
    <font>
      <strike/>
      <sz val="12"/>
      <color theme="1"/>
      <name val="Aptos Narrow"/>
      <family val="2"/>
      <scheme val="minor"/>
    </font>
    <font>
      <b/>
      <strike/>
      <sz val="12"/>
      <color theme="1"/>
      <name val="Aptos Narrow"/>
      <scheme val="minor"/>
    </font>
    <font>
      <b/>
      <strike/>
      <sz val="12"/>
      <color theme="1"/>
      <name val="Aptos Narrow"/>
      <family val="2"/>
      <scheme val="minor"/>
    </font>
    <font>
      <strike/>
      <sz val="12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5F0E5"/>
        <bgColor indexed="64"/>
      </patternFill>
    </fill>
    <fill>
      <patternFill patternType="solid">
        <fgColor rgb="FF013B4F"/>
        <bgColor indexed="64"/>
      </patternFill>
    </fill>
    <fill>
      <patternFill patternType="solid">
        <fgColor rgb="FFE0001B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1" fillId="2" borderId="2" xfId="0" applyFont="1" applyFill="1" applyBorder="1"/>
    <xf numFmtId="0" fontId="1" fillId="2" borderId="4" xfId="0" applyFont="1" applyFill="1" applyBorder="1"/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/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/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/>
    <xf numFmtId="0" fontId="2" fillId="0" borderId="7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2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1" xfId="0" applyFont="1" applyBorder="1"/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wrapText="1"/>
    </xf>
    <xf numFmtId="0" fontId="2" fillId="0" borderId="12" xfId="0" applyFont="1" applyBorder="1"/>
    <xf numFmtId="0" fontId="2" fillId="0" borderId="11" xfId="0" applyFont="1" applyBorder="1" applyAlignment="1">
      <alignment wrapText="1"/>
    </xf>
    <xf numFmtId="0" fontId="2" fillId="4" borderId="2" xfId="0" applyFont="1" applyFill="1" applyBorder="1"/>
    <xf numFmtId="0" fontId="2" fillId="4" borderId="11" xfId="0" applyFont="1" applyFill="1" applyBorder="1"/>
    <xf numFmtId="0" fontId="2" fillId="4" borderId="12" xfId="0" applyFont="1" applyFill="1" applyBorder="1"/>
    <xf numFmtId="0" fontId="2" fillId="0" borderId="6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23" xfId="0" applyFont="1" applyBorder="1" applyAlignment="1">
      <alignment vertical="top"/>
    </xf>
    <xf numFmtId="0" fontId="2" fillId="0" borderId="25" xfId="0" applyFont="1" applyBorder="1" applyAlignment="1">
      <alignment vertical="top"/>
    </xf>
    <xf numFmtId="0" fontId="1" fillId="2" borderId="7" xfId="0" applyFont="1" applyFill="1" applyBorder="1"/>
    <xf numFmtId="0" fontId="1" fillId="2" borderId="11" xfId="0" applyFont="1" applyFill="1" applyBorder="1"/>
    <xf numFmtId="0" fontId="2" fillId="0" borderId="33" xfId="0" applyFont="1" applyBorder="1"/>
    <xf numFmtId="0" fontId="2" fillId="0" borderId="14" xfId="0" applyFont="1" applyBorder="1" applyAlignment="1">
      <alignment vertical="top"/>
    </xf>
    <xf numFmtId="0" fontId="2" fillId="0" borderId="14" xfId="0" applyFont="1" applyBorder="1"/>
    <xf numFmtId="0" fontId="7" fillId="0" borderId="11" xfId="0" applyFont="1" applyBorder="1"/>
    <xf numFmtId="0" fontId="2" fillId="0" borderId="2" xfId="0" applyFont="1" applyBorder="1" applyAlignment="1">
      <alignment vertical="center"/>
    </xf>
    <xf numFmtId="0" fontId="2" fillId="0" borderId="7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1" fillId="2" borderId="13" xfId="0" applyFont="1" applyFill="1" applyBorder="1"/>
    <xf numFmtId="0" fontId="2" fillId="0" borderId="13" xfId="0" applyFont="1" applyBorder="1"/>
    <xf numFmtId="0" fontId="5" fillId="0" borderId="0" xfId="0" applyFont="1"/>
    <xf numFmtId="0" fontId="5" fillId="7" borderId="0" xfId="0" applyFont="1" applyFill="1"/>
    <xf numFmtId="0" fontId="0" fillId="7" borderId="0" xfId="0" applyFill="1"/>
    <xf numFmtId="0" fontId="2" fillId="0" borderId="34" xfId="0" applyFont="1" applyBorder="1"/>
    <xf numFmtId="0" fontId="5" fillId="5" borderId="26" xfId="0" applyFont="1" applyFill="1" applyBorder="1"/>
    <xf numFmtId="0" fontId="5" fillId="5" borderId="27" xfId="0" applyFont="1" applyFill="1" applyBorder="1"/>
    <xf numFmtId="0" fontId="5" fillId="5" borderId="28" xfId="0" applyFont="1" applyFill="1" applyBorder="1"/>
    <xf numFmtId="0" fontId="5" fillId="5" borderId="30" xfId="0" applyFont="1" applyFill="1" applyBorder="1"/>
    <xf numFmtId="0" fontId="0" fillId="5" borderId="35" xfId="0" applyFill="1" applyBorder="1"/>
    <xf numFmtId="0" fontId="0" fillId="5" borderId="27" xfId="0" applyFill="1" applyBorder="1"/>
    <xf numFmtId="0" fontId="0" fillId="5" borderId="28" xfId="0" applyFill="1" applyBorder="1"/>
    <xf numFmtId="0" fontId="0" fillId="5" borderId="36" xfId="0" applyFill="1" applyBorder="1"/>
    <xf numFmtId="0" fontId="0" fillId="5" borderId="30" xfId="0" applyFill="1" applyBorder="1"/>
    <xf numFmtId="0" fontId="0" fillId="0" borderId="0" xfId="0" quotePrefix="1"/>
    <xf numFmtId="0" fontId="0" fillId="0" borderId="34" xfId="0" applyBorder="1"/>
    <xf numFmtId="0" fontId="5" fillId="5" borderId="35" xfId="0" quotePrefix="1" applyFont="1" applyFill="1" applyBorder="1"/>
    <xf numFmtId="0" fontId="5" fillId="5" borderId="27" xfId="0" quotePrefix="1" applyFont="1" applyFill="1" applyBorder="1"/>
    <xf numFmtId="0" fontId="0" fillId="5" borderId="24" xfId="0" applyFill="1" applyBorder="1" applyAlignment="1">
      <alignment horizontal="left"/>
    </xf>
    <xf numFmtId="0" fontId="0" fillId="5" borderId="28" xfId="0" quotePrefix="1" applyFill="1" applyBorder="1"/>
    <xf numFmtId="0" fontId="0" fillId="5" borderId="29" xfId="0" applyFill="1" applyBorder="1" applyAlignment="1">
      <alignment horizontal="left"/>
    </xf>
    <xf numFmtId="0" fontId="5" fillId="5" borderId="21" xfId="0" applyFont="1" applyFill="1" applyBorder="1"/>
    <xf numFmtId="0" fontId="0" fillId="5" borderId="37" xfId="0" quotePrefix="1" applyFill="1" applyBorder="1"/>
    <xf numFmtId="0" fontId="9" fillId="5" borderId="24" xfId="0" applyFont="1" applyFill="1" applyBorder="1"/>
    <xf numFmtId="0" fontId="9" fillId="5" borderId="29" xfId="0" applyFont="1" applyFill="1" applyBorder="1"/>
    <xf numFmtId="0" fontId="5" fillId="5" borderId="22" xfId="0" applyFont="1" applyFill="1" applyBorder="1"/>
    <xf numFmtId="0" fontId="5" fillId="5" borderId="35" xfId="0" applyFont="1" applyFill="1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5" fillId="5" borderId="36" xfId="0" quotePrefix="1" applyFont="1" applyFill="1" applyBorder="1"/>
    <xf numFmtId="0" fontId="5" fillId="5" borderId="36" xfId="0" applyFont="1" applyFill="1" applyBorder="1"/>
    <xf numFmtId="0" fontId="9" fillId="5" borderId="35" xfId="0" quotePrefix="1" applyFont="1" applyFill="1" applyBorder="1"/>
    <xf numFmtId="0" fontId="5" fillId="5" borderId="0" xfId="0" quotePrefix="1" applyFont="1" applyFill="1" applyBorder="1"/>
    <xf numFmtId="0" fontId="0" fillId="5" borderId="0" xfId="0" applyFill="1" applyBorder="1"/>
    <xf numFmtId="0" fontId="5" fillId="5" borderId="0" xfId="0" applyFont="1" applyFill="1" applyBorder="1"/>
    <xf numFmtId="0" fontId="5" fillId="0" borderId="26" xfId="0" applyFont="1" applyBorder="1"/>
    <xf numFmtId="0" fontId="5" fillId="0" borderId="35" xfId="0" applyFont="1" applyBorder="1"/>
    <xf numFmtId="0" fontId="5" fillId="0" borderId="27" xfId="0" applyFont="1" applyBorder="1"/>
    <xf numFmtId="0" fontId="5" fillId="5" borderId="24" xfId="0" applyFont="1" applyFill="1" applyBorder="1"/>
    <xf numFmtId="0" fontId="0" fillId="5" borderId="0" xfId="0" quotePrefix="1" applyFill="1" applyBorder="1"/>
    <xf numFmtId="0" fontId="0" fillId="5" borderId="24" xfId="0" applyFill="1" applyBorder="1"/>
    <xf numFmtId="0" fontId="0" fillId="5" borderId="29" xfId="0" applyFill="1" applyBorder="1"/>
    <xf numFmtId="0" fontId="5" fillId="8" borderId="0" xfId="0" applyFont="1" applyFill="1" applyBorder="1"/>
    <xf numFmtId="0" fontId="5" fillId="6" borderId="35" xfId="0" applyFont="1" applyFill="1" applyBorder="1"/>
    <xf numFmtId="0" fontId="0" fillId="6" borderId="35" xfId="0" applyFill="1" applyBorder="1"/>
    <xf numFmtId="0" fontId="0" fillId="6" borderId="27" xfId="0" applyFill="1" applyBorder="1"/>
    <xf numFmtId="0" fontId="5" fillId="6" borderId="0" xfId="0" applyFont="1" applyFill="1" applyBorder="1"/>
    <xf numFmtId="0" fontId="0" fillId="6" borderId="0" xfId="0" applyFill="1" applyBorder="1"/>
    <xf numFmtId="0" fontId="0" fillId="6" borderId="28" xfId="0" applyFill="1" applyBorder="1"/>
    <xf numFmtId="0" fontId="5" fillId="6" borderId="36" xfId="0" applyFont="1" applyFill="1" applyBorder="1"/>
    <xf numFmtId="0" fontId="0" fillId="6" borderId="36" xfId="0" applyFill="1" applyBorder="1"/>
    <xf numFmtId="0" fontId="0" fillId="6" borderId="30" xfId="0" applyFill="1" applyBorder="1"/>
    <xf numFmtId="0" fontId="5" fillId="6" borderId="5" xfId="0" applyFont="1" applyFill="1" applyBorder="1"/>
    <xf numFmtId="0" fontId="0" fillId="6" borderId="8" xfId="0" applyFill="1" applyBorder="1"/>
    <xf numFmtId="0" fontId="0" fillId="6" borderId="9" xfId="0" applyFill="1" applyBorder="1"/>
    <xf numFmtId="0" fontId="0" fillId="8" borderId="35" xfId="0" applyFill="1" applyBorder="1"/>
    <xf numFmtId="0" fontId="0" fillId="8" borderId="27" xfId="0" applyFill="1" applyBorder="1"/>
    <xf numFmtId="0" fontId="0" fillId="8" borderId="0" xfId="0" applyFill="1" applyBorder="1"/>
    <xf numFmtId="0" fontId="0" fillId="8" borderId="28" xfId="0" applyFill="1" applyBorder="1"/>
    <xf numFmtId="0" fontId="5" fillId="8" borderId="36" xfId="0" applyFont="1" applyFill="1" applyBorder="1"/>
    <xf numFmtId="0" fontId="0" fillId="8" borderId="36" xfId="0" applyFill="1" applyBorder="1"/>
    <xf numFmtId="0" fontId="0" fillId="8" borderId="30" xfId="0" applyFill="1" applyBorder="1"/>
    <xf numFmtId="0" fontId="5" fillId="8" borderId="35" xfId="0" applyFont="1" applyFill="1" applyBorder="1"/>
    <xf numFmtId="0" fontId="5" fillId="8" borderId="5" xfId="0" applyFont="1" applyFill="1" applyBorder="1"/>
    <xf numFmtId="0" fontId="0" fillId="8" borderId="8" xfId="0" applyFill="1" applyBorder="1"/>
    <xf numFmtId="0" fontId="0" fillId="8" borderId="9" xfId="0" applyFill="1" applyBorder="1"/>
    <xf numFmtId="0" fontId="5" fillId="7" borderId="0" xfId="0" applyFont="1" applyFill="1" applyAlignment="1">
      <alignment wrapText="1"/>
    </xf>
    <xf numFmtId="0" fontId="9" fillId="7" borderId="0" xfId="0" applyFont="1" applyFill="1"/>
    <xf numFmtId="0" fontId="5" fillId="7" borderId="5" xfId="0" applyFont="1" applyFill="1" applyBorder="1"/>
    <xf numFmtId="0" fontId="0" fillId="7" borderId="8" xfId="0" applyFill="1" applyBorder="1"/>
    <xf numFmtId="0" fontId="0" fillId="7" borderId="9" xfId="0" applyFill="1" applyBorder="1"/>
    <xf numFmtId="0" fontId="0" fillId="9" borderId="0" xfId="0" applyFill="1"/>
    <xf numFmtId="0" fontId="9" fillId="0" borderId="34" xfId="0" quotePrefix="1" applyFont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2" fillId="0" borderId="16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/>
    </xf>
    <xf numFmtId="0" fontId="1" fillId="0" borderId="20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/>
    </xf>
    <xf numFmtId="0" fontId="2" fillId="0" borderId="17" xfId="0" applyFont="1" applyBorder="1" applyAlignment="1">
      <alignment horizontal="left" vertical="top"/>
    </xf>
    <xf numFmtId="0" fontId="2" fillId="0" borderId="18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4" fillId="3" borderId="31" xfId="0" applyFont="1" applyFill="1" applyBorder="1" applyAlignment="1">
      <alignment horizontal="center" vertical="top" wrapText="1"/>
    </xf>
    <xf numFmtId="0" fontId="4" fillId="3" borderId="32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4" fillId="3" borderId="0" xfId="0" applyFont="1" applyFill="1" applyAlignment="1">
      <alignment horizontal="center" vertical="top" wrapText="1"/>
    </xf>
    <xf numFmtId="0" fontId="1" fillId="2" borderId="6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7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3" fillId="5" borderId="24" xfId="0" applyFont="1" applyFill="1" applyBorder="1"/>
    <xf numFmtId="0" fontId="14" fillId="5" borderId="26" xfId="0" applyFont="1" applyFill="1" applyBorder="1"/>
    <xf numFmtId="0" fontId="13" fillId="5" borderId="35" xfId="0" applyFont="1" applyFill="1" applyBorder="1"/>
    <xf numFmtId="0" fontId="14" fillId="5" borderId="27" xfId="0" applyFont="1" applyFill="1" applyBorder="1"/>
    <xf numFmtId="0" fontId="13" fillId="0" borderId="0" xfId="0" applyFont="1"/>
    <xf numFmtId="0" fontId="15" fillId="9" borderId="0" xfId="0" applyFont="1" applyFill="1"/>
    <xf numFmtId="0" fontId="16" fillId="5" borderId="24" xfId="0" applyFont="1" applyFill="1" applyBorder="1"/>
    <xf numFmtId="0" fontId="13" fillId="5" borderId="0" xfId="0" applyFont="1" applyFill="1" applyBorder="1"/>
    <xf numFmtId="0" fontId="13" fillId="5" borderId="28" xfId="0" applyFont="1" applyFill="1" applyBorder="1"/>
    <xf numFmtId="0" fontId="10" fillId="9" borderId="0" xfId="0" applyFont="1" applyFill="1"/>
  </cellXfs>
  <cellStyles count="1">
    <cellStyle name="Normal" xfId="0" builtinId="0"/>
  </cellStyles>
  <dxfs count="15">
    <dxf>
      <fill>
        <patternFill>
          <bgColor rgb="FFD9F7F6"/>
        </patternFill>
      </fill>
    </dxf>
    <dxf>
      <fill>
        <patternFill>
          <bgColor rgb="FF8EE6E4"/>
        </patternFill>
      </fill>
    </dxf>
    <dxf>
      <fill>
        <patternFill>
          <bgColor rgb="FF08BDBA"/>
        </patternFill>
      </fill>
    </dxf>
    <dxf>
      <fill>
        <patternFill>
          <bgColor rgb="FFDCD2C3"/>
        </patternFill>
      </fill>
    </dxf>
    <dxf>
      <fill>
        <patternFill>
          <bgColor rgb="FFF5F0E5"/>
        </patternFill>
      </fill>
    </dxf>
    <dxf>
      <fill>
        <patternFill>
          <bgColor rgb="FFDCD2C3"/>
        </patternFill>
      </fill>
    </dxf>
    <dxf>
      <fill>
        <patternFill>
          <bgColor rgb="FFF5F0E5"/>
        </patternFill>
      </fill>
    </dxf>
    <dxf>
      <fill>
        <patternFill>
          <bgColor rgb="FFD9F7F6"/>
        </patternFill>
      </fill>
    </dxf>
    <dxf>
      <fill>
        <patternFill>
          <bgColor rgb="FF8EE6E4"/>
        </patternFill>
      </fill>
    </dxf>
    <dxf>
      <fill>
        <patternFill>
          <bgColor rgb="FF08BDBA"/>
        </patternFill>
      </fill>
    </dxf>
    <dxf>
      <fill>
        <patternFill>
          <bgColor rgb="FFD9F7F6"/>
        </patternFill>
      </fill>
    </dxf>
    <dxf>
      <fill>
        <patternFill>
          <bgColor rgb="FF8EE6E4"/>
        </patternFill>
      </fill>
    </dxf>
    <dxf>
      <fill>
        <patternFill>
          <bgColor rgb="FF08BDBA"/>
        </patternFill>
      </fill>
    </dxf>
    <dxf>
      <fill>
        <patternFill>
          <bgColor rgb="FFDCD2C3"/>
        </patternFill>
      </fill>
    </dxf>
    <dxf>
      <fill>
        <patternFill>
          <bgColor rgb="FFF5F0E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ae90f5cbd0fd171/AMC/HIV%20Prioritization%20tool/HIV_prioritization_tool/resources/TIER_version_4_NOV_2025.xlsx" TargetMode="External"/><Relationship Id="rId1" Type="http://schemas.openxmlformats.org/officeDocument/2006/relationships/externalLinkPath" Target="/2ae90f5cbd0fd171/AMC/HIV%20Prioritization%20tool/HIV_prioritization_tool/resources/TIER_version_4_NOV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VIEW - Read this"/>
      <sheetName val="HOW TO USE THIS TOOL"/>
      <sheetName val="Scenario overview"/>
      <sheetName val="Tier overview"/>
      <sheetName val="TREATMENT"/>
      <sheetName val="TESTING"/>
      <sheetName val="PREVENTION"/>
      <sheetName val="SUMMARY"/>
      <sheetName val="ANNEX 1 TREATMENT"/>
      <sheetName val="ANNEX 2 TESTING"/>
      <sheetName val="ANNEX 3 PREVENTION"/>
    </sheetNames>
    <sheetDataSet>
      <sheetData sheetId="0" refreshError="1"/>
      <sheetData sheetId="1" refreshError="1"/>
      <sheetData sheetId="2">
        <row r="6">
          <cell r="B6" t="str">
            <v>A high-burden country close to reaching 95s across all populations</v>
          </cell>
          <cell r="C6" t="str">
            <v>Limited, possibly some unsuppressed ART clients and some specific sub-segments that are generally underserved</v>
          </cell>
        </row>
        <row r="7">
          <cell r="B7" t="str">
            <v>A high-burden country close to reaching 95s, but not in all populations</v>
          </cell>
          <cell r="C7" t="str">
            <v>Adolescent girls and young women, key populations, men</v>
          </cell>
        </row>
        <row r="8">
          <cell r="B8" t="str">
            <v>A high-burden country not yet achieving one or more of the 95s</v>
          </cell>
          <cell r="C8" t="str">
            <v>Clinically unstable/symptomatic, gaps in all population groups</v>
          </cell>
        </row>
        <row r="9">
          <cell r="B9" t="str">
            <v>A low-burden country achieving one or more of the 95s</v>
          </cell>
          <cell r="C9" t="str">
            <v>Clinically unstable/symptomatic, gaps in all population groups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A058-49C2-504F-AB86-7CB2C3172A54}">
  <dimension ref="A1:H70"/>
  <sheetViews>
    <sheetView topLeftCell="C45" workbookViewId="0">
      <selection activeCell="C45" sqref="C45"/>
    </sheetView>
  </sheetViews>
  <sheetFormatPr defaultColWidth="11" defaultRowHeight="15.95"/>
  <cols>
    <col min="1" max="1" width="21" customWidth="1"/>
    <col min="2" max="2" width="18.125" customWidth="1"/>
    <col min="3" max="3" width="41.5" customWidth="1"/>
    <col min="4" max="4" width="19.875" customWidth="1"/>
    <col min="5" max="5" width="17.625" customWidth="1"/>
    <col min="6" max="6" width="16.375" customWidth="1"/>
    <col min="7" max="7" width="23.5" customWidth="1"/>
  </cols>
  <sheetData>
    <row r="1" spans="1:8">
      <c r="A1" s="112" t="s">
        <v>0</v>
      </c>
      <c r="B1" s="113" t="s">
        <v>1</v>
      </c>
      <c r="C1" s="11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7" t="s">
        <v>7</v>
      </c>
    </row>
    <row r="2" spans="1:8">
      <c r="A2" s="112"/>
      <c r="B2" s="113"/>
      <c r="C2" s="113"/>
      <c r="D2" s="1" t="str">
        <f>'[1]Scenario overview'!B6</f>
        <v>A high-burden country close to reaching 95s across all populations</v>
      </c>
      <c r="E2" s="1" t="str">
        <f>'[1]Scenario overview'!B7</f>
        <v>A high-burden country close to reaching 95s, but not in all populations</v>
      </c>
      <c r="F2" s="1" t="str">
        <f>'[1]Scenario overview'!B8</f>
        <v>A high-burden country not yet achieving one or more of the 95s</v>
      </c>
      <c r="G2" s="1" t="str">
        <f>'[1]Scenario overview'!B9</f>
        <v>A low-burden country achieving one or more of the 95s</v>
      </c>
      <c r="H2" t="s">
        <v>8</v>
      </c>
    </row>
    <row r="3" spans="1:8" ht="17.100000000000001" thickBot="1">
      <c r="A3" s="112"/>
      <c r="B3" s="114"/>
      <c r="C3" s="114"/>
      <c r="D3" s="2" t="str">
        <f>'[1]Scenario overview'!C6</f>
        <v>Limited, possibly some unsuppressed ART clients and some specific sub-segments that are generally underserved</v>
      </c>
      <c r="E3" s="2" t="str">
        <f>'[1]Scenario overview'!C7</f>
        <v>Adolescent girls and young women, key populations, men</v>
      </c>
      <c r="F3" s="2" t="str">
        <f>'[1]Scenario overview'!C8</f>
        <v>Clinically unstable/symptomatic, gaps in all population groups</v>
      </c>
      <c r="G3" s="2" t="str">
        <f>'[1]Scenario overview'!C9</f>
        <v>Clinically unstable/symptomatic, gaps in all population groups</v>
      </c>
    </row>
    <row r="4" spans="1:8" ht="45">
      <c r="A4" s="121" t="s">
        <v>9</v>
      </c>
      <c r="B4" s="123" t="s">
        <v>10</v>
      </c>
      <c r="C4" s="3" t="s">
        <v>11</v>
      </c>
      <c r="D4" s="4" t="s">
        <v>12</v>
      </c>
      <c r="E4" s="4" t="s">
        <v>12</v>
      </c>
      <c r="F4" s="4" t="s">
        <v>12</v>
      </c>
      <c r="G4" s="4" t="s">
        <v>12</v>
      </c>
      <c r="H4" s="38" t="s">
        <v>13</v>
      </c>
    </row>
    <row r="5" spans="1:8" ht="75">
      <c r="A5" s="121"/>
      <c r="B5" s="124"/>
      <c r="C5" s="5" t="s">
        <v>14</v>
      </c>
      <c r="D5" s="6" t="s">
        <v>12</v>
      </c>
      <c r="E5" s="6" t="s">
        <v>12</v>
      </c>
      <c r="F5" s="6" t="s">
        <v>12</v>
      </c>
      <c r="G5" s="6" t="s">
        <v>12</v>
      </c>
      <c r="H5" s="38" t="s">
        <v>15</v>
      </c>
    </row>
    <row r="6" spans="1:8" ht="60">
      <c r="A6" s="121"/>
      <c r="B6" s="124"/>
      <c r="C6" s="5" t="s">
        <v>16</v>
      </c>
      <c r="D6" s="6" t="s">
        <v>12</v>
      </c>
      <c r="E6" s="6" t="s">
        <v>12</v>
      </c>
      <c r="F6" s="6" t="s">
        <v>12</v>
      </c>
      <c r="G6" s="6" t="s">
        <v>12</v>
      </c>
    </row>
    <row r="7" spans="1:8" ht="30">
      <c r="A7" s="121"/>
      <c r="B7" s="124"/>
      <c r="C7" s="5" t="s">
        <v>17</v>
      </c>
      <c r="D7" s="6" t="s">
        <v>12</v>
      </c>
      <c r="E7" s="6" t="s">
        <v>12</v>
      </c>
      <c r="F7" s="6" t="s">
        <v>12</v>
      </c>
      <c r="G7" s="6" t="s">
        <v>12</v>
      </c>
      <c r="H7" s="38" t="s">
        <v>18</v>
      </c>
    </row>
    <row r="8" spans="1:8" ht="30">
      <c r="A8" s="121"/>
      <c r="B8" s="124"/>
      <c r="C8" s="7" t="s">
        <v>19</v>
      </c>
      <c r="D8" s="6" t="s">
        <v>12</v>
      </c>
      <c r="E8" s="6" t="s">
        <v>12</v>
      </c>
      <c r="F8" s="6" t="s">
        <v>12</v>
      </c>
      <c r="G8" s="6" t="s">
        <v>12</v>
      </c>
      <c r="H8" s="42" t="s">
        <v>18</v>
      </c>
    </row>
    <row r="9" spans="1:8" ht="30">
      <c r="A9" s="121"/>
      <c r="B9" s="124"/>
      <c r="C9" s="7" t="s">
        <v>20</v>
      </c>
      <c r="D9" s="6" t="s">
        <v>21</v>
      </c>
      <c r="E9" s="6" t="s">
        <v>21</v>
      </c>
      <c r="F9" s="6" t="s">
        <v>21</v>
      </c>
      <c r="G9" s="6" t="s">
        <v>21</v>
      </c>
      <c r="H9" s="42" t="s">
        <v>18</v>
      </c>
    </row>
    <row r="10" spans="1:8" ht="30">
      <c r="A10" s="121"/>
      <c r="B10" s="124"/>
      <c r="C10" s="7" t="s">
        <v>22</v>
      </c>
      <c r="D10" s="6" t="s">
        <v>12</v>
      </c>
      <c r="E10" s="6" t="s">
        <v>12</v>
      </c>
      <c r="F10" s="6" t="s">
        <v>12</v>
      </c>
      <c r="G10" s="6" t="s">
        <v>23</v>
      </c>
      <c r="H10" s="42" t="s">
        <v>18</v>
      </c>
    </row>
    <row r="11" spans="1:8" ht="45">
      <c r="A11" s="121"/>
      <c r="B11" s="124"/>
      <c r="C11" s="7" t="s">
        <v>24</v>
      </c>
      <c r="D11" s="6" t="s">
        <v>12</v>
      </c>
      <c r="E11" s="6" t="s">
        <v>12</v>
      </c>
      <c r="F11" s="6" t="s">
        <v>12</v>
      </c>
      <c r="G11" s="6" t="s">
        <v>21</v>
      </c>
      <c r="H11" s="42" t="s">
        <v>18</v>
      </c>
    </row>
    <row r="12" spans="1:8" ht="30">
      <c r="A12" s="121"/>
      <c r="B12" s="124"/>
      <c r="C12" s="7" t="s">
        <v>25</v>
      </c>
      <c r="D12" s="6" t="s">
        <v>12</v>
      </c>
      <c r="E12" s="6" t="s">
        <v>12</v>
      </c>
      <c r="F12" s="6" t="s">
        <v>12</v>
      </c>
      <c r="G12" s="6" t="s">
        <v>23</v>
      </c>
      <c r="H12" s="42" t="s">
        <v>18</v>
      </c>
    </row>
    <row r="13" spans="1:8" ht="30">
      <c r="A13" s="121"/>
      <c r="B13" s="124"/>
      <c r="C13" s="7" t="s">
        <v>26</v>
      </c>
      <c r="D13" s="6" t="s">
        <v>12</v>
      </c>
      <c r="E13" s="6" t="s">
        <v>12</v>
      </c>
      <c r="F13" s="6" t="s">
        <v>12</v>
      </c>
      <c r="G13" s="6" t="s">
        <v>21</v>
      </c>
      <c r="H13" s="42" t="s">
        <v>18</v>
      </c>
    </row>
    <row r="14" spans="1:8" ht="90.95" thickBot="1">
      <c r="A14" s="121"/>
      <c r="B14" s="125"/>
      <c r="C14" s="14" t="s">
        <v>27</v>
      </c>
      <c r="D14" s="15" t="s">
        <v>12</v>
      </c>
      <c r="E14" s="15" t="s">
        <v>12</v>
      </c>
      <c r="F14" s="15" t="s">
        <v>12</v>
      </c>
      <c r="G14" s="15" t="s">
        <v>12</v>
      </c>
      <c r="H14" s="42" t="s">
        <v>28</v>
      </c>
    </row>
    <row r="15" spans="1:8" ht="45">
      <c r="A15" s="121"/>
      <c r="B15" s="126" t="s">
        <v>29</v>
      </c>
      <c r="C15" s="3" t="s">
        <v>30</v>
      </c>
      <c r="D15" s="4" t="s">
        <v>12</v>
      </c>
      <c r="E15" s="4" t="s">
        <v>12</v>
      </c>
      <c r="F15" s="4" t="s">
        <v>12</v>
      </c>
      <c r="G15" s="4" t="s">
        <v>12</v>
      </c>
    </row>
    <row r="16" spans="1:8" ht="105">
      <c r="A16" s="121"/>
      <c r="B16" s="116"/>
      <c r="C16" s="5" t="s">
        <v>31</v>
      </c>
      <c r="D16" s="6" t="s">
        <v>12</v>
      </c>
      <c r="E16" s="6" t="s">
        <v>12</v>
      </c>
      <c r="F16" s="6" t="s">
        <v>12</v>
      </c>
      <c r="G16" s="6" t="s">
        <v>12</v>
      </c>
    </row>
    <row r="17" spans="1:7" ht="30">
      <c r="A17" s="121"/>
      <c r="B17" s="116"/>
      <c r="C17" s="5" t="s">
        <v>32</v>
      </c>
      <c r="D17" s="6" t="s">
        <v>12</v>
      </c>
      <c r="E17" s="6" t="s">
        <v>12</v>
      </c>
      <c r="F17" s="6" t="s">
        <v>12</v>
      </c>
      <c r="G17" s="6" t="s">
        <v>12</v>
      </c>
    </row>
    <row r="18" spans="1:7" ht="45">
      <c r="A18" s="121"/>
      <c r="B18" s="116"/>
      <c r="C18" s="5" t="s">
        <v>33</v>
      </c>
      <c r="D18" s="6" t="s">
        <v>12</v>
      </c>
      <c r="E18" s="6" t="s">
        <v>12</v>
      </c>
      <c r="F18" s="6" t="s">
        <v>12</v>
      </c>
      <c r="G18" s="6" t="s">
        <v>12</v>
      </c>
    </row>
    <row r="19" spans="1:7" ht="45">
      <c r="A19" s="121"/>
      <c r="B19" s="116"/>
      <c r="C19" s="5" t="s">
        <v>34</v>
      </c>
      <c r="D19" s="6" t="s">
        <v>12</v>
      </c>
      <c r="E19" s="6" t="s">
        <v>12</v>
      </c>
      <c r="F19" s="6" t="s">
        <v>12</v>
      </c>
      <c r="G19" s="6" t="s">
        <v>12</v>
      </c>
    </row>
    <row r="20" spans="1:7" ht="45.95" thickBot="1">
      <c r="A20" s="121"/>
      <c r="B20" s="117"/>
      <c r="C20" s="14" t="s">
        <v>35</v>
      </c>
      <c r="D20" s="15" t="s">
        <v>12</v>
      </c>
      <c r="E20" s="15" t="s">
        <v>12</v>
      </c>
      <c r="F20" s="15" t="s">
        <v>12</v>
      </c>
      <c r="G20" s="15" t="s">
        <v>12</v>
      </c>
    </row>
    <row r="21" spans="1:7">
      <c r="A21" s="121"/>
      <c r="B21" s="126" t="s">
        <v>36</v>
      </c>
      <c r="C21" s="3" t="s">
        <v>37</v>
      </c>
      <c r="D21" s="4" t="s">
        <v>12</v>
      </c>
      <c r="E21" s="4" t="s">
        <v>12</v>
      </c>
      <c r="F21" s="4" t="s">
        <v>12</v>
      </c>
      <c r="G21" s="4" t="s">
        <v>12</v>
      </c>
    </row>
    <row r="22" spans="1:7" ht="30">
      <c r="A22" s="121"/>
      <c r="B22" s="116"/>
      <c r="C22" s="5" t="s">
        <v>38</v>
      </c>
      <c r="D22" s="6" t="s">
        <v>12</v>
      </c>
      <c r="E22" s="6" t="s">
        <v>12</v>
      </c>
      <c r="F22" s="6" t="s">
        <v>12</v>
      </c>
      <c r="G22" s="6" t="s">
        <v>12</v>
      </c>
    </row>
    <row r="23" spans="1:7" ht="45">
      <c r="A23" s="121"/>
      <c r="B23" s="116"/>
      <c r="C23" s="5" t="s">
        <v>39</v>
      </c>
      <c r="D23" s="6" t="s">
        <v>12</v>
      </c>
      <c r="E23" s="6" t="s">
        <v>12</v>
      </c>
      <c r="F23" s="6" t="s">
        <v>12</v>
      </c>
      <c r="G23" s="6" t="s">
        <v>12</v>
      </c>
    </row>
    <row r="24" spans="1:7" ht="30">
      <c r="A24" s="121"/>
      <c r="B24" s="116"/>
      <c r="C24" s="5" t="s">
        <v>40</v>
      </c>
      <c r="D24" s="6" t="s">
        <v>12</v>
      </c>
      <c r="E24" s="6" t="s">
        <v>12</v>
      </c>
      <c r="F24" s="6" t="s">
        <v>12</v>
      </c>
      <c r="G24" s="6" t="s">
        <v>12</v>
      </c>
    </row>
    <row r="25" spans="1:7" ht="60">
      <c r="A25" s="121"/>
      <c r="B25" s="116"/>
      <c r="C25" s="5" t="s">
        <v>41</v>
      </c>
      <c r="D25" s="6" t="s">
        <v>12</v>
      </c>
      <c r="E25" s="6" t="s">
        <v>12</v>
      </c>
      <c r="F25" s="6" t="s">
        <v>12</v>
      </c>
      <c r="G25" s="6" t="s">
        <v>12</v>
      </c>
    </row>
    <row r="26" spans="1:7" ht="60.95" thickBot="1">
      <c r="A26" s="121"/>
      <c r="B26" s="127"/>
      <c r="C26" s="8" t="s">
        <v>42</v>
      </c>
      <c r="D26" s="9" t="s">
        <v>12</v>
      </c>
      <c r="E26" s="9" t="s">
        <v>21</v>
      </c>
      <c r="F26" s="9" t="s">
        <v>21</v>
      </c>
      <c r="G26" s="9" t="s">
        <v>23</v>
      </c>
    </row>
    <row r="27" spans="1:7" ht="45.95">
      <c r="A27" s="121"/>
      <c r="B27" s="126" t="s">
        <v>43</v>
      </c>
      <c r="C27" s="10" t="s">
        <v>44</v>
      </c>
      <c r="D27" s="4" t="s">
        <v>12</v>
      </c>
      <c r="E27" s="4" t="s">
        <v>12</v>
      </c>
      <c r="F27" s="4" t="s">
        <v>12</v>
      </c>
      <c r="G27" s="4" t="s">
        <v>12</v>
      </c>
    </row>
    <row r="28" spans="1:7" ht="60.95">
      <c r="A28" s="121"/>
      <c r="B28" s="116"/>
      <c r="C28" s="11" t="s">
        <v>45</v>
      </c>
      <c r="D28" s="6" t="s">
        <v>12</v>
      </c>
      <c r="E28" s="6" t="s">
        <v>12</v>
      </c>
      <c r="F28" s="6" t="s">
        <v>12</v>
      </c>
      <c r="G28" s="6" t="s">
        <v>12</v>
      </c>
    </row>
    <row r="29" spans="1:7" ht="60.95">
      <c r="A29" s="121"/>
      <c r="B29" s="116"/>
      <c r="C29" s="11" t="s">
        <v>46</v>
      </c>
      <c r="D29" s="6" t="s">
        <v>12</v>
      </c>
      <c r="E29" s="6" t="s">
        <v>12</v>
      </c>
      <c r="F29" s="6" t="s">
        <v>12</v>
      </c>
      <c r="G29" s="6" t="s">
        <v>12</v>
      </c>
    </row>
    <row r="30" spans="1:7" ht="30.95">
      <c r="A30" s="121"/>
      <c r="B30" s="116"/>
      <c r="C30" s="11" t="s">
        <v>47</v>
      </c>
      <c r="D30" s="6" t="s">
        <v>12</v>
      </c>
      <c r="E30" s="6" t="s">
        <v>12</v>
      </c>
      <c r="F30" s="6" t="s">
        <v>12</v>
      </c>
      <c r="G30" s="6" t="s">
        <v>12</v>
      </c>
    </row>
    <row r="31" spans="1:7" ht="60.95">
      <c r="A31" s="121"/>
      <c r="B31" s="116"/>
      <c r="C31" s="11" t="s">
        <v>48</v>
      </c>
      <c r="D31" s="6" t="s">
        <v>12</v>
      </c>
      <c r="E31" s="6" t="s">
        <v>12</v>
      </c>
      <c r="F31" s="6" t="s">
        <v>12</v>
      </c>
      <c r="G31" s="6" t="s">
        <v>12</v>
      </c>
    </row>
    <row r="32" spans="1:7" ht="45.95">
      <c r="A32" s="121"/>
      <c r="B32" s="116"/>
      <c r="C32" s="11" t="s">
        <v>49</v>
      </c>
      <c r="D32" s="6" t="s">
        <v>23</v>
      </c>
      <c r="E32" s="6" t="s">
        <v>21</v>
      </c>
      <c r="F32" s="6" t="s">
        <v>21</v>
      </c>
      <c r="G32" s="6" t="s">
        <v>23</v>
      </c>
    </row>
    <row r="33" spans="1:7" ht="45.95">
      <c r="A33" s="121"/>
      <c r="B33" s="116"/>
      <c r="C33" s="11" t="s">
        <v>50</v>
      </c>
      <c r="D33" s="6" t="s">
        <v>21</v>
      </c>
      <c r="E33" s="6" t="s">
        <v>21</v>
      </c>
      <c r="F33" s="6" t="s">
        <v>12</v>
      </c>
      <c r="G33" s="6" t="s">
        <v>12</v>
      </c>
    </row>
    <row r="34" spans="1:7" ht="45.95">
      <c r="A34" s="121"/>
      <c r="B34" s="116"/>
      <c r="C34" s="11" t="s">
        <v>51</v>
      </c>
      <c r="D34" s="6" t="s">
        <v>21</v>
      </c>
      <c r="E34" s="6" t="s">
        <v>21</v>
      </c>
      <c r="F34" s="6" t="s">
        <v>21</v>
      </c>
      <c r="G34" s="6" t="s">
        <v>23</v>
      </c>
    </row>
    <row r="35" spans="1:7" ht="30">
      <c r="A35" s="121"/>
      <c r="B35" s="116"/>
      <c r="C35" s="5" t="s">
        <v>52</v>
      </c>
      <c r="D35" s="6" t="s">
        <v>23</v>
      </c>
      <c r="E35" s="6" t="s">
        <v>23</v>
      </c>
      <c r="F35" s="6" t="s">
        <v>23</v>
      </c>
      <c r="G35" s="6" t="s">
        <v>23</v>
      </c>
    </row>
    <row r="36" spans="1:7" ht="60">
      <c r="A36" s="121"/>
      <c r="B36" s="116"/>
      <c r="C36" s="7" t="s">
        <v>53</v>
      </c>
      <c r="D36" s="6" t="s">
        <v>12</v>
      </c>
      <c r="E36" s="6" t="s">
        <v>12</v>
      </c>
      <c r="F36" s="6" t="s">
        <v>12</v>
      </c>
      <c r="G36" s="6" t="s">
        <v>12</v>
      </c>
    </row>
    <row r="37" spans="1:7" ht="30.95" thickBot="1">
      <c r="A37" s="121"/>
      <c r="B37" s="117"/>
      <c r="C37" s="16" t="s">
        <v>54</v>
      </c>
      <c r="D37" s="15" t="s">
        <v>12</v>
      </c>
      <c r="E37" s="15" t="s">
        <v>12</v>
      </c>
      <c r="F37" s="15" t="s">
        <v>12</v>
      </c>
      <c r="G37" s="15" t="s">
        <v>12</v>
      </c>
    </row>
    <row r="38" spans="1:7" ht="30.95">
      <c r="A38" s="121"/>
      <c r="B38" s="128" t="s">
        <v>55</v>
      </c>
      <c r="C38" s="17" t="s">
        <v>56</v>
      </c>
      <c r="D38" s="18" t="s">
        <v>12</v>
      </c>
      <c r="E38" s="18" t="s">
        <v>12</v>
      </c>
      <c r="F38" s="18" t="s">
        <v>12</v>
      </c>
      <c r="G38" s="18" t="s">
        <v>12</v>
      </c>
    </row>
    <row r="39" spans="1:7">
      <c r="A39" s="121"/>
      <c r="B39" s="124"/>
      <c r="C39" s="11" t="s">
        <v>57</v>
      </c>
      <c r="D39" s="6" t="s">
        <v>12</v>
      </c>
      <c r="E39" s="6" t="s">
        <v>12</v>
      </c>
      <c r="F39" s="6" t="s">
        <v>12</v>
      </c>
      <c r="G39" s="6" t="s">
        <v>12</v>
      </c>
    </row>
    <row r="40" spans="1:7" ht="30.95">
      <c r="A40" s="121"/>
      <c r="B40" s="124"/>
      <c r="C40" s="11" t="s">
        <v>58</v>
      </c>
      <c r="D40" s="6" t="s">
        <v>12</v>
      </c>
      <c r="E40" s="6" t="s">
        <v>12</v>
      </c>
      <c r="F40" s="6" t="s">
        <v>12</v>
      </c>
      <c r="G40" s="6" t="s">
        <v>12</v>
      </c>
    </row>
    <row r="41" spans="1:7">
      <c r="A41" s="121"/>
      <c r="B41" s="124"/>
      <c r="C41" s="11" t="s">
        <v>59</v>
      </c>
      <c r="D41" s="6" t="s">
        <v>12</v>
      </c>
      <c r="E41" s="6" t="s">
        <v>12</v>
      </c>
      <c r="F41" s="6" t="s">
        <v>12</v>
      </c>
      <c r="G41" s="6" t="s">
        <v>12</v>
      </c>
    </row>
    <row r="42" spans="1:7" ht="32.1" thickBot="1">
      <c r="A42" s="121"/>
      <c r="B42" s="125"/>
      <c r="C42" s="19" t="s">
        <v>60</v>
      </c>
      <c r="D42" s="15" t="s">
        <v>12</v>
      </c>
      <c r="E42" s="15" t="s">
        <v>12</v>
      </c>
      <c r="F42" s="15" t="s">
        <v>12</v>
      </c>
      <c r="G42" s="15" t="s">
        <v>12</v>
      </c>
    </row>
    <row r="43" spans="1:7" ht="30">
      <c r="A43" s="121"/>
      <c r="B43" s="129" t="s">
        <v>61</v>
      </c>
      <c r="C43" s="3" t="s">
        <v>62</v>
      </c>
      <c r="D43" s="4" t="s">
        <v>12</v>
      </c>
      <c r="E43" s="4" t="s">
        <v>12</v>
      </c>
      <c r="F43" s="4" t="s">
        <v>12</v>
      </c>
      <c r="G43" s="4" t="s">
        <v>12</v>
      </c>
    </row>
    <row r="44" spans="1:7" ht="30">
      <c r="A44" s="121"/>
      <c r="B44" s="130"/>
      <c r="C44" s="5" t="s">
        <v>63</v>
      </c>
      <c r="D44" s="6" t="s">
        <v>12</v>
      </c>
      <c r="E44" s="6" t="s">
        <v>12</v>
      </c>
      <c r="F44" s="6" t="s">
        <v>12</v>
      </c>
      <c r="G44" s="6" t="s">
        <v>12</v>
      </c>
    </row>
    <row r="45" spans="1:7" ht="45">
      <c r="A45" s="121"/>
      <c r="B45" s="130"/>
      <c r="C45" s="5" t="s">
        <v>64</v>
      </c>
      <c r="D45" s="6" t="s">
        <v>12</v>
      </c>
      <c r="E45" s="6" t="s">
        <v>12</v>
      </c>
      <c r="F45" s="6" t="s">
        <v>12</v>
      </c>
      <c r="G45" s="6" t="s">
        <v>12</v>
      </c>
    </row>
    <row r="46" spans="1:7" ht="45">
      <c r="A46" s="121"/>
      <c r="B46" s="130"/>
      <c r="C46" s="5" t="s">
        <v>65</v>
      </c>
      <c r="D46" s="6" t="s">
        <v>23</v>
      </c>
      <c r="E46" s="6" t="s">
        <v>23</v>
      </c>
      <c r="F46" s="6" t="s">
        <v>21</v>
      </c>
      <c r="G46" s="6" t="s">
        <v>21</v>
      </c>
    </row>
    <row r="47" spans="1:7" ht="30">
      <c r="A47" s="121"/>
      <c r="B47" s="130"/>
      <c r="C47" s="13" t="s">
        <v>66</v>
      </c>
      <c r="D47" s="6" t="s">
        <v>23</v>
      </c>
      <c r="E47" s="6" t="s">
        <v>23</v>
      </c>
      <c r="F47" s="6" t="s">
        <v>21</v>
      </c>
      <c r="G47" s="6" t="s">
        <v>21</v>
      </c>
    </row>
    <row r="48" spans="1:7" ht="30">
      <c r="A48" s="121"/>
      <c r="B48" s="130"/>
      <c r="C48" s="5" t="s">
        <v>67</v>
      </c>
      <c r="D48" s="6" t="s">
        <v>23</v>
      </c>
      <c r="E48" s="6" t="s">
        <v>23</v>
      </c>
      <c r="F48" s="6" t="s">
        <v>21</v>
      </c>
      <c r="G48" s="6" t="s">
        <v>21</v>
      </c>
    </row>
    <row r="49" spans="1:7" ht="30.95" thickBot="1">
      <c r="A49" s="121"/>
      <c r="B49" s="130"/>
      <c r="C49" s="8" t="s">
        <v>68</v>
      </c>
      <c r="D49" s="9" t="s">
        <v>12</v>
      </c>
      <c r="E49" s="9" t="s">
        <v>12</v>
      </c>
      <c r="F49" s="9" t="s">
        <v>12</v>
      </c>
      <c r="G49" s="9" t="s">
        <v>12</v>
      </c>
    </row>
    <row r="50" spans="1:7" ht="30">
      <c r="A50" s="121"/>
      <c r="B50" s="126" t="s">
        <v>69</v>
      </c>
      <c r="C50" s="3" t="s">
        <v>70</v>
      </c>
      <c r="D50" s="4" t="s">
        <v>12</v>
      </c>
      <c r="E50" s="4" t="s">
        <v>12</v>
      </c>
      <c r="F50" s="4" t="s">
        <v>12</v>
      </c>
      <c r="G50" s="4" t="s">
        <v>12</v>
      </c>
    </row>
    <row r="51" spans="1:7" ht="30">
      <c r="A51" s="121"/>
      <c r="B51" s="116"/>
      <c r="C51" s="5" t="s">
        <v>71</v>
      </c>
      <c r="D51" s="6" t="s">
        <v>23</v>
      </c>
      <c r="E51" s="6" t="s">
        <v>23</v>
      </c>
      <c r="F51" s="6" t="s">
        <v>23</v>
      </c>
      <c r="G51" s="6" t="s">
        <v>23</v>
      </c>
    </row>
    <row r="52" spans="1:7" ht="30.95">
      <c r="A52" s="121"/>
      <c r="B52" s="116"/>
      <c r="C52" s="11" t="s">
        <v>72</v>
      </c>
      <c r="D52" s="6" t="s">
        <v>12</v>
      </c>
      <c r="E52" s="6" t="s">
        <v>12</v>
      </c>
      <c r="F52" s="6" t="s">
        <v>21</v>
      </c>
      <c r="G52" s="6" t="s">
        <v>21</v>
      </c>
    </row>
    <row r="53" spans="1:7" ht="30.95">
      <c r="A53" s="121"/>
      <c r="B53" s="116"/>
      <c r="C53" s="11" t="s">
        <v>73</v>
      </c>
      <c r="D53" s="20" t="s">
        <v>12</v>
      </c>
      <c r="E53" s="20" t="s">
        <v>12</v>
      </c>
      <c r="F53" s="6" t="s">
        <v>21</v>
      </c>
      <c r="G53" s="6" t="s">
        <v>21</v>
      </c>
    </row>
    <row r="54" spans="1:7" ht="30.95">
      <c r="A54" s="121"/>
      <c r="B54" s="116"/>
      <c r="C54" s="11" t="s">
        <v>74</v>
      </c>
      <c r="D54" s="20" t="s">
        <v>12</v>
      </c>
      <c r="E54" s="20" t="s">
        <v>12</v>
      </c>
      <c r="F54" s="6" t="s">
        <v>12</v>
      </c>
      <c r="G54" s="6" t="s">
        <v>12</v>
      </c>
    </row>
    <row r="55" spans="1:7" ht="32.1" thickBot="1">
      <c r="A55" s="121"/>
      <c r="B55" s="117"/>
      <c r="C55" s="19" t="s">
        <v>75</v>
      </c>
      <c r="D55" s="21" t="s">
        <v>23</v>
      </c>
      <c r="E55" s="21" t="s">
        <v>23</v>
      </c>
      <c r="F55" s="15" t="s">
        <v>23</v>
      </c>
      <c r="G55" s="15" t="s">
        <v>23</v>
      </c>
    </row>
    <row r="56" spans="1:7" ht="30.95">
      <c r="A56" s="121"/>
      <c r="B56" s="115" t="s">
        <v>76</v>
      </c>
      <c r="C56" s="17" t="s">
        <v>77</v>
      </c>
      <c r="D56" s="22" t="s">
        <v>12</v>
      </c>
      <c r="E56" s="22" t="s">
        <v>12</v>
      </c>
      <c r="F56" s="18" t="s">
        <v>12</v>
      </c>
      <c r="G56" s="18" t="s">
        <v>12</v>
      </c>
    </row>
    <row r="57" spans="1:7" ht="30">
      <c r="A57" s="121"/>
      <c r="B57" s="116"/>
      <c r="C57" s="5" t="s">
        <v>78</v>
      </c>
      <c r="D57" s="20" t="s">
        <v>12</v>
      </c>
      <c r="E57" s="20" t="s">
        <v>12</v>
      </c>
      <c r="F57" s="6" t="s">
        <v>12</v>
      </c>
      <c r="G57" s="6" t="s">
        <v>12</v>
      </c>
    </row>
    <row r="58" spans="1:7" ht="105">
      <c r="A58" s="121"/>
      <c r="B58" s="116"/>
      <c r="C58" s="5" t="s">
        <v>79</v>
      </c>
      <c r="D58" s="20" t="s">
        <v>12</v>
      </c>
      <c r="E58" s="20" t="s">
        <v>12</v>
      </c>
      <c r="F58" s="6" t="s">
        <v>12</v>
      </c>
      <c r="G58" s="6" t="s">
        <v>12</v>
      </c>
    </row>
    <row r="59" spans="1:7" ht="45.95">
      <c r="A59" s="121"/>
      <c r="B59" s="116"/>
      <c r="C59" s="11" t="s">
        <v>80</v>
      </c>
      <c r="D59" s="6" t="s">
        <v>21</v>
      </c>
      <c r="E59" s="6" t="s">
        <v>21</v>
      </c>
      <c r="F59" s="6" t="s">
        <v>21</v>
      </c>
      <c r="G59" s="6" t="s">
        <v>23</v>
      </c>
    </row>
    <row r="60" spans="1:7" ht="30">
      <c r="A60" s="121"/>
      <c r="B60" s="116"/>
      <c r="C60" s="5" t="s">
        <v>81</v>
      </c>
      <c r="D60" s="6" t="s">
        <v>21</v>
      </c>
      <c r="E60" s="6" t="s">
        <v>21</v>
      </c>
      <c r="F60" s="6" t="s">
        <v>21</v>
      </c>
      <c r="G60" s="6" t="s">
        <v>23</v>
      </c>
    </row>
    <row r="61" spans="1:7" ht="75">
      <c r="A61" s="121"/>
      <c r="B61" s="116"/>
      <c r="C61" s="5" t="s">
        <v>82</v>
      </c>
      <c r="D61" s="6" t="s">
        <v>21</v>
      </c>
      <c r="E61" s="6" t="s">
        <v>21</v>
      </c>
      <c r="F61" s="6" t="s">
        <v>21</v>
      </c>
      <c r="G61" s="6" t="s">
        <v>23</v>
      </c>
    </row>
    <row r="62" spans="1:7" ht="62.1" thickBot="1">
      <c r="A62" s="121"/>
      <c r="B62" s="117"/>
      <c r="C62" s="12" t="s">
        <v>83</v>
      </c>
      <c r="D62" s="9" t="s">
        <v>23</v>
      </c>
      <c r="E62" s="9" t="s">
        <v>23</v>
      </c>
      <c r="F62" s="9" t="s">
        <v>23</v>
      </c>
      <c r="G62" s="9" t="s">
        <v>23</v>
      </c>
    </row>
    <row r="63" spans="1:7" ht="30">
      <c r="A63" s="121"/>
      <c r="B63" s="118" t="s">
        <v>84</v>
      </c>
      <c r="C63" s="23" t="s">
        <v>85</v>
      </c>
      <c r="D63" s="4" t="s">
        <v>12</v>
      </c>
      <c r="E63" s="4" t="s">
        <v>12</v>
      </c>
      <c r="F63" s="4" t="s">
        <v>12</v>
      </c>
      <c r="G63" s="4" t="s">
        <v>12</v>
      </c>
    </row>
    <row r="64" spans="1:7" ht="30">
      <c r="A64" s="121"/>
      <c r="B64" s="119"/>
      <c r="C64" s="24" t="s">
        <v>86</v>
      </c>
      <c r="D64" s="6" t="s">
        <v>12</v>
      </c>
      <c r="E64" s="6" t="s">
        <v>12</v>
      </c>
      <c r="F64" s="6" t="s">
        <v>12</v>
      </c>
      <c r="G64" s="6" t="s">
        <v>12</v>
      </c>
    </row>
    <row r="65" spans="1:7" ht="45">
      <c r="A65" s="121"/>
      <c r="B65" s="119"/>
      <c r="C65" s="24" t="s">
        <v>87</v>
      </c>
      <c r="D65" s="6" t="s">
        <v>12</v>
      </c>
      <c r="E65" s="6" t="s">
        <v>12</v>
      </c>
      <c r="F65" s="6" t="s">
        <v>12</v>
      </c>
      <c r="G65" s="6" t="s">
        <v>12</v>
      </c>
    </row>
    <row r="66" spans="1:7" ht="30">
      <c r="A66" s="121"/>
      <c r="B66" s="119"/>
      <c r="C66" s="24" t="s">
        <v>88</v>
      </c>
      <c r="D66" s="6" t="s">
        <v>12</v>
      </c>
      <c r="E66" s="6" t="s">
        <v>12</v>
      </c>
      <c r="F66" s="6" t="s">
        <v>12</v>
      </c>
      <c r="G66" s="6" t="s">
        <v>12</v>
      </c>
    </row>
    <row r="67" spans="1:7" ht="30">
      <c r="A67" s="121"/>
      <c r="B67" s="119"/>
      <c r="C67" s="24" t="s">
        <v>89</v>
      </c>
      <c r="D67" s="6" t="s">
        <v>12</v>
      </c>
      <c r="E67" s="6" t="s">
        <v>12</v>
      </c>
      <c r="F67" s="6" t="s">
        <v>12</v>
      </c>
      <c r="G67" s="6" t="s">
        <v>12</v>
      </c>
    </row>
    <row r="68" spans="1:7" ht="30">
      <c r="A68" s="121"/>
      <c r="B68" s="119"/>
      <c r="C68" s="24" t="s">
        <v>90</v>
      </c>
      <c r="D68" s="6" t="s">
        <v>12</v>
      </c>
      <c r="E68" s="6" t="s">
        <v>12</v>
      </c>
      <c r="F68" s="6" t="s">
        <v>12</v>
      </c>
      <c r="G68" s="6" t="s">
        <v>12</v>
      </c>
    </row>
    <row r="69" spans="1:7" ht="30">
      <c r="A69" s="121"/>
      <c r="B69" s="119"/>
      <c r="C69" s="24" t="s">
        <v>91</v>
      </c>
      <c r="D69" s="6" t="s">
        <v>12</v>
      </c>
      <c r="E69" s="6" t="s">
        <v>12</v>
      </c>
      <c r="F69" s="6" t="s">
        <v>12</v>
      </c>
      <c r="G69" s="6" t="s">
        <v>12</v>
      </c>
    </row>
    <row r="70" spans="1:7" ht="30.95" thickBot="1">
      <c r="A70" s="122"/>
      <c r="B70" s="120"/>
      <c r="C70" s="25" t="s">
        <v>92</v>
      </c>
      <c r="D70" s="15" t="s">
        <v>23</v>
      </c>
      <c r="E70" s="15" t="s">
        <v>23</v>
      </c>
      <c r="F70" s="15" t="s">
        <v>23</v>
      </c>
      <c r="G70" s="15" t="s">
        <v>23</v>
      </c>
    </row>
  </sheetData>
  <mergeCells count="13">
    <mergeCell ref="A1:A3"/>
    <mergeCell ref="B1:B3"/>
    <mergeCell ref="C1:C3"/>
    <mergeCell ref="B56:B62"/>
    <mergeCell ref="B63:B70"/>
    <mergeCell ref="A4:A70"/>
    <mergeCell ref="B4:B14"/>
    <mergeCell ref="B15:B20"/>
    <mergeCell ref="B21:B26"/>
    <mergeCell ref="B27:B37"/>
    <mergeCell ref="B38:B42"/>
    <mergeCell ref="B43:B49"/>
    <mergeCell ref="B50:B55"/>
  </mergeCells>
  <conditionalFormatting sqref="H1 D1:G70 H4:H5 H7:H14">
    <cfRule type="cellIs" dxfId="14" priority="6" operator="equal">
      <formula>"Not applicable"</formula>
    </cfRule>
    <cfRule type="cellIs" dxfId="13" priority="7" operator="equal">
      <formula>"Discontinue"</formula>
    </cfRule>
  </conditionalFormatting>
  <conditionalFormatting sqref="H4:H5 D4:G70 H7:H14">
    <cfRule type="cellIs" dxfId="12" priority="8" operator="equal">
      <formula>"Minimum"</formula>
    </cfRule>
    <cfRule type="cellIs" dxfId="11" priority="9" operator="equal">
      <formula>"Standard"</formula>
    </cfRule>
    <cfRule type="cellIs" dxfId="10" priority="10" operator="equal">
      <formula>"Optimal"</formula>
    </cfRule>
  </conditionalFormatting>
  <dataValidations count="1">
    <dataValidation type="list" allowBlank="1" showInputMessage="1" showErrorMessage="1" sqref="D1:G3" xr:uid="{07DFE76A-86F5-FC48-AC9C-568C9022AD49}">
      <formula1>Package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E63A6-5B78-FF45-9DFA-59E7D3BA4D56}">
  <dimension ref="A1:G54"/>
  <sheetViews>
    <sheetView topLeftCell="C23" workbookViewId="0">
      <selection activeCell="C23" sqref="C23"/>
    </sheetView>
  </sheetViews>
  <sheetFormatPr defaultColWidth="11" defaultRowHeight="15.95"/>
  <cols>
    <col min="2" max="2" width="17" bestFit="1" customWidth="1"/>
    <col min="3" max="3" width="77.375" customWidth="1"/>
    <col min="4" max="4" width="17.625" customWidth="1"/>
    <col min="5" max="5" width="16.625" customWidth="1"/>
    <col min="6" max="6" width="15" customWidth="1"/>
    <col min="7" max="7" width="16.625" customWidth="1"/>
  </cols>
  <sheetData>
    <row r="1" spans="1:7" ht="17.100000000000001" thickBot="1">
      <c r="A1" s="135" t="s">
        <v>93</v>
      </c>
      <c r="B1" s="136"/>
      <c r="C1" s="136"/>
      <c r="D1" s="136"/>
      <c r="E1" s="136"/>
      <c r="F1" s="136"/>
      <c r="G1" s="136"/>
    </row>
    <row r="2" spans="1:7">
      <c r="A2" s="137" t="s">
        <v>0</v>
      </c>
      <c r="B2" s="139" t="s">
        <v>1</v>
      </c>
      <c r="C2" s="139" t="s">
        <v>2</v>
      </c>
      <c r="D2" s="28" t="s">
        <v>3</v>
      </c>
      <c r="E2" s="28" t="s">
        <v>4</v>
      </c>
      <c r="F2" s="28" t="s">
        <v>5</v>
      </c>
      <c r="G2" s="28" t="s">
        <v>6</v>
      </c>
    </row>
    <row r="3" spans="1:7">
      <c r="A3" s="112"/>
      <c r="B3" s="113"/>
      <c r="C3" s="113"/>
      <c r="D3" s="1" t="str">
        <f>'[1]Scenario overview'!B6</f>
        <v>A high-burden country close to reaching 95s across all populations</v>
      </c>
      <c r="E3" s="1" t="str">
        <f>'[1]Scenario overview'!B7</f>
        <v>A high-burden country close to reaching 95s, but not in all populations</v>
      </c>
      <c r="F3" s="1" t="str">
        <f>'[1]Scenario overview'!B8</f>
        <v>A high-burden country not yet achieving one or more of the 95s</v>
      </c>
      <c r="G3" s="1" t="str">
        <f>'[1]Scenario overview'!B9</f>
        <v>A low-burden country achieving one or more of the 95s</v>
      </c>
    </row>
    <row r="4" spans="1:7" ht="17.100000000000001" thickBot="1">
      <c r="A4" s="138"/>
      <c r="B4" s="140"/>
      <c r="C4" s="140"/>
      <c r="D4" s="29" t="str">
        <f>'[1]Scenario overview'!C6</f>
        <v>Limited, possibly some unsuppressed ART clients and some specific sub-segments that are generally underserved</v>
      </c>
      <c r="E4" s="29" t="str">
        <f>'[1]Scenario overview'!C7</f>
        <v>Adolescent girls and young women, key populations, men</v>
      </c>
      <c r="F4" s="29" t="str">
        <f>'[1]Scenario overview'!C8</f>
        <v>Clinically unstable/symptomatic, gaps in all population groups</v>
      </c>
      <c r="G4" s="29" t="str">
        <f>'[1]Scenario overview'!C9</f>
        <v>Clinically unstable/symptomatic, gaps in all population groups</v>
      </c>
    </row>
    <row r="5" spans="1:7" ht="17.100000000000001" thickBot="1">
      <c r="A5" s="131" t="s">
        <v>94</v>
      </c>
      <c r="B5" s="26" t="s">
        <v>95</v>
      </c>
      <c r="C5" s="30" t="s">
        <v>96</v>
      </c>
      <c r="D5" s="30" t="s">
        <v>12</v>
      </c>
      <c r="E5" s="30" t="s">
        <v>12</v>
      </c>
      <c r="F5" s="30" t="s">
        <v>12</v>
      </c>
      <c r="G5" s="30" t="s">
        <v>12</v>
      </c>
    </row>
    <row r="6" spans="1:7">
      <c r="A6" s="132"/>
      <c r="B6" s="126" t="s">
        <v>97</v>
      </c>
      <c r="C6" s="4" t="s">
        <v>98</v>
      </c>
      <c r="D6" s="4" t="s">
        <v>12</v>
      </c>
      <c r="E6" s="4" t="s">
        <v>12</v>
      </c>
      <c r="F6" s="4" t="s">
        <v>12</v>
      </c>
      <c r="G6" s="4" t="s">
        <v>12</v>
      </c>
    </row>
    <row r="7" spans="1:7">
      <c r="A7" s="132"/>
      <c r="B7" s="124"/>
      <c r="C7" s="6" t="s">
        <v>99</v>
      </c>
      <c r="D7" s="6" t="s">
        <v>12</v>
      </c>
      <c r="E7" s="6" t="s">
        <v>12</v>
      </c>
      <c r="F7" s="6" t="s">
        <v>12</v>
      </c>
      <c r="G7" s="6" t="s">
        <v>12</v>
      </c>
    </row>
    <row r="8" spans="1:7">
      <c r="A8" s="132"/>
      <c r="B8" s="124"/>
      <c r="C8" s="6" t="s">
        <v>100</v>
      </c>
      <c r="D8" s="6" t="s">
        <v>23</v>
      </c>
      <c r="E8" s="6" t="s">
        <v>23</v>
      </c>
      <c r="F8" s="6" t="s">
        <v>12</v>
      </c>
      <c r="G8" s="6" t="s">
        <v>23</v>
      </c>
    </row>
    <row r="9" spans="1:7">
      <c r="A9" s="132"/>
      <c r="B9" s="124"/>
      <c r="C9" s="6" t="s">
        <v>101</v>
      </c>
      <c r="D9" s="6" t="s">
        <v>23</v>
      </c>
      <c r="E9" s="6" t="s">
        <v>21</v>
      </c>
      <c r="F9" s="6" t="s">
        <v>12</v>
      </c>
      <c r="G9" s="6" t="s">
        <v>23</v>
      </c>
    </row>
    <row r="10" spans="1:7">
      <c r="A10" s="132"/>
      <c r="B10" s="124"/>
      <c r="C10" s="6" t="s">
        <v>102</v>
      </c>
      <c r="D10" s="6" t="s">
        <v>12</v>
      </c>
      <c r="E10" s="6" t="s">
        <v>12</v>
      </c>
      <c r="F10" s="6" t="s">
        <v>12</v>
      </c>
      <c r="G10" s="6" t="s">
        <v>12</v>
      </c>
    </row>
    <row r="11" spans="1:7">
      <c r="A11" s="132"/>
      <c r="B11" s="124"/>
      <c r="C11" s="6" t="s">
        <v>103</v>
      </c>
      <c r="D11" s="6" t="s">
        <v>21</v>
      </c>
      <c r="E11" s="6" t="s">
        <v>21</v>
      </c>
      <c r="F11" s="6" t="s">
        <v>21</v>
      </c>
      <c r="G11" s="6" t="s">
        <v>23</v>
      </c>
    </row>
    <row r="12" spans="1:7">
      <c r="A12" s="132"/>
      <c r="B12" s="124"/>
      <c r="C12" s="6" t="s">
        <v>104</v>
      </c>
      <c r="D12" s="6" t="s">
        <v>12</v>
      </c>
      <c r="E12" s="6" t="s">
        <v>12</v>
      </c>
      <c r="F12" s="6" t="s">
        <v>12</v>
      </c>
      <c r="G12" s="6" t="s">
        <v>12</v>
      </c>
    </row>
    <row r="13" spans="1:7">
      <c r="A13" s="132"/>
      <c r="B13" s="124"/>
      <c r="C13" s="6" t="s">
        <v>105</v>
      </c>
      <c r="D13" s="6" t="s">
        <v>23</v>
      </c>
      <c r="E13" s="6" t="s">
        <v>23</v>
      </c>
      <c r="F13" s="6" t="s">
        <v>21</v>
      </c>
      <c r="G13" s="6" t="s">
        <v>21</v>
      </c>
    </row>
    <row r="14" spans="1:7">
      <c r="A14" s="132"/>
      <c r="B14" s="124"/>
      <c r="C14" s="6" t="s">
        <v>106</v>
      </c>
      <c r="D14" s="6" t="s">
        <v>12</v>
      </c>
      <c r="E14" s="6" t="s">
        <v>12</v>
      </c>
      <c r="F14" s="6" t="s">
        <v>12</v>
      </c>
      <c r="G14" s="6" t="s">
        <v>12</v>
      </c>
    </row>
    <row r="15" spans="1:7">
      <c r="A15" s="132"/>
      <c r="B15" s="124"/>
      <c r="C15" s="6" t="s">
        <v>107</v>
      </c>
      <c r="D15" s="6" t="s">
        <v>12</v>
      </c>
      <c r="E15" s="6" t="s">
        <v>12</v>
      </c>
      <c r="F15" s="6" t="s">
        <v>12</v>
      </c>
      <c r="G15" s="6" t="s">
        <v>12</v>
      </c>
    </row>
    <row r="16" spans="1:7">
      <c r="A16" s="132"/>
      <c r="B16" s="124"/>
      <c r="C16" s="6" t="s">
        <v>108</v>
      </c>
      <c r="D16" s="6" t="s">
        <v>12</v>
      </c>
      <c r="E16" s="6" t="s">
        <v>12</v>
      </c>
      <c r="F16" s="6" t="s">
        <v>12</v>
      </c>
      <c r="G16" s="6" t="s">
        <v>21</v>
      </c>
    </row>
    <row r="17" spans="1:7">
      <c r="A17" s="132"/>
      <c r="B17" s="124"/>
      <c r="C17" s="6" t="s">
        <v>109</v>
      </c>
      <c r="D17" s="6" t="s">
        <v>23</v>
      </c>
      <c r="E17" s="6" t="s">
        <v>21</v>
      </c>
      <c r="F17" s="6" t="s">
        <v>12</v>
      </c>
      <c r="G17" s="6" t="s">
        <v>23</v>
      </c>
    </row>
    <row r="18" spans="1:7">
      <c r="A18" s="132"/>
      <c r="B18" s="124"/>
      <c r="C18" s="6" t="s">
        <v>110</v>
      </c>
      <c r="D18" s="6" t="s">
        <v>23</v>
      </c>
      <c r="E18" s="6" t="s">
        <v>21</v>
      </c>
      <c r="F18" s="6" t="s">
        <v>21</v>
      </c>
      <c r="G18" s="6" t="s">
        <v>23</v>
      </c>
    </row>
    <row r="19" spans="1:7">
      <c r="A19" s="132"/>
      <c r="B19" s="124"/>
      <c r="C19" s="6" t="s">
        <v>111</v>
      </c>
      <c r="D19" s="6" t="s">
        <v>21</v>
      </c>
      <c r="E19" s="6" t="s">
        <v>12</v>
      </c>
      <c r="F19" s="6" t="s">
        <v>12</v>
      </c>
      <c r="G19" s="6" t="s">
        <v>23</v>
      </c>
    </row>
    <row r="20" spans="1:7">
      <c r="A20" s="132"/>
      <c r="B20" s="124"/>
      <c r="C20" s="6" t="s">
        <v>112</v>
      </c>
      <c r="D20" s="6" t="s">
        <v>23</v>
      </c>
      <c r="E20" s="6" t="s">
        <v>12</v>
      </c>
      <c r="F20" s="6" t="s">
        <v>12</v>
      </c>
      <c r="G20" s="6" t="s">
        <v>23</v>
      </c>
    </row>
    <row r="21" spans="1:7">
      <c r="A21" s="132"/>
      <c r="B21" s="124"/>
      <c r="C21" s="6" t="s">
        <v>113</v>
      </c>
      <c r="D21" s="6" t="s">
        <v>23</v>
      </c>
      <c r="E21" s="6" t="s">
        <v>21</v>
      </c>
      <c r="F21" s="6" t="s">
        <v>21</v>
      </c>
      <c r="G21" s="6" t="s">
        <v>23</v>
      </c>
    </row>
    <row r="22" spans="1:7">
      <c r="A22" s="132"/>
      <c r="B22" s="124"/>
      <c r="C22" s="6" t="s">
        <v>114</v>
      </c>
      <c r="D22" s="6" t="s">
        <v>23</v>
      </c>
      <c r="E22" s="6" t="s">
        <v>23</v>
      </c>
      <c r="F22" s="6" t="s">
        <v>21</v>
      </c>
      <c r="G22" s="6" t="s">
        <v>23</v>
      </c>
    </row>
    <row r="23" spans="1:7">
      <c r="A23" s="132"/>
      <c r="B23" s="124"/>
      <c r="C23" s="6" t="s">
        <v>115</v>
      </c>
      <c r="D23" s="6" t="s">
        <v>12</v>
      </c>
      <c r="E23" s="6" t="s">
        <v>12</v>
      </c>
      <c r="F23" s="6" t="s">
        <v>12</v>
      </c>
      <c r="G23" s="6" t="s">
        <v>21</v>
      </c>
    </row>
    <row r="24" spans="1:7">
      <c r="A24" s="132"/>
      <c r="B24" s="124"/>
      <c r="C24" s="6" t="s">
        <v>116</v>
      </c>
      <c r="D24" s="6" t="s">
        <v>23</v>
      </c>
      <c r="E24" s="6" t="s">
        <v>23</v>
      </c>
      <c r="F24" s="6" t="s">
        <v>23</v>
      </c>
      <c r="G24" s="6" t="s">
        <v>23</v>
      </c>
    </row>
    <row r="25" spans="1:7">
      <c r="A25" s="132"/>
      <c r="B25" s="124"/>
      <c r="C25" s="6" t="s">
        <v>117</v>
      </c>
      <c r="D25" s="6" t="s">
        <v>12</v>
      </c>
      <c r="E25" s="6" t="s">
        <v>12</v>
      </c>
      <c r="F25" s="6" t="s">
        <v>12</v>
      </c>
      <c r="G25" s="6" t="s">
        <v>12</v>
      </c>
    </row>
    <row r="26" spans="1:7">
      <c r="A26" s="132"/>
      <c r="B26" s="124"/>
      <c r="C26" s="6" t="s">
        <v>118</v>
      </c>
      <c r="D26" s="6" t="s">
        <v>23</v>
      </c>
      <c r="E26" s="6" t="s">
        <v>23</v>
      </c>
      <c r="F26" s="6" t="s">
        <v>23</v>
      </c>
      <c r="G26" s="6" t="s">
        <v>23</v>
      </c>
    </row>
    <row r="27" spans="1:7" ht="17.100000000000001" thickBot="1">
      <c r="A27" s="132"/>
      <c r="B27" s="125"/>
      <c r="C27" s="15" t="s">
        <v>119</v>
      </c>
      <c r="D27" s="15" t="s">
        <v>23</v>
      </c>
      <c r="E27" s="15" t="s">
        <v>23</v>
      </c>
      <c r="F27" s="15" t="s">
        <v>12</v>
      </c>
      <c r="G27" s="15" t="s">
        <v>23</v>
      </c>
    </row>
    <row r="28" spans="1:7">
      <c r="A28" s="132"/>
      <c r="B28" s="126" t="s">
        <v>120</v>
      </c>
      <c r="C28" s="4" t="s">
        <v>121</v>
      </c>
      <c r="D28" s="4" t="s">
        <v>12</v>
      </c>
      <c r="E28" s="4" t="s">
        <v>12</v>
      </c>
      <c r="F28" s="4" t="s">
        <v>12</v>
      </c>
      <c r="G28" s="4" t="s">
        <v>12</v>
      </c>
    </row>
    <row r="29" spans="1:7">
      <c r="A29" s="132"/>
      <c r="B29" s="116"/>
      <c r="C29" s="6" t="s">
        <v>122</v>
      </c>
      <c r="D29" s="6" t="s">
        <v>21</v>
      </c>
      <c r="E29" s="6" t="s">
        <v>21</v>
      </c>
      <c r="F29" s="6" t="s">
        <v>21</v>
      </c>
      <c r="G29" s="6" t="s">
        <v>21</v>
      </c>
    </row>
    <row r="30" spans="1:7">
      <c r="A30" s="132"/>
      <c r="B30" s="116"/>
      <c r="C30" s="6" t="s">
        <v>123</v>
      </c>
      <c r="D30" s="6" t="s">
        <v>23</v>
      </c>
      <c r="E30" s="6" t="s">
        <v>23</v>
      </c>
      <c r="F30" s="6" t="s">
        <v>23</v>
      </c>
      <c r="G30" s="6" t="s">
        <v>21</v>
      </c>
    </row>
    <row r="31" spans="1:7">
      <c r="A31" s="132"/>
      <c r="B31" s="116"/>
      <c r="C31" s="6" t="s">
        <v>124</v>
      </c>
      <c r="D31" s="6" t="s">
        <v>12</v>
      </c>
      <c r="E31" s="6" t="s">
        <v>12</v>
      </c>
      <c r="F31" s="6" t="s">
        <v>12</v>
      </c>
      <c r="G31" s="6" t="s">
        <v>12</v>
      </c>
    </row>
    <row r="32" spans="1:7">
      <c r="A32" s="132"/>
      <c r="B32" s="116"/>
      <c r="C32" s="6" t="s">
        <v>125</v>
      </c>
      <c r="D32" s="6" t="s">
        <v>23</v>
      </c>
      <c r="E32" s="6" t="s">
        <v>23</v>
      </c>
      <c r="F32" s="6" t="s">
        <v>23</v>
      </c>
      <c r="G32" s="6" t="s">
        <v>23</v>
      </c>
    </row>
    <row r="33" spans="1:7">
      <c r="A33" s="132"/>
      <c r="B33" s="116"/>
      <c r="C33" s="6" t="s">
        <v>126</v>
      </c>
      <c r="D33" s="6" t="s">
        <v>12</v>
      </c>
      <c r="E33" s="6" t="s">
        <v>12</v>
      </c>
      <c r="F33" s="6" t="s">
        <v>12</v>
      </c>
      <c r="G33" s="6" t="s">
        <v>12</v>
      </c>
    </row>
    <row r="34" spans="1:7">
      <c r="A34" s="132"/>
      <c r="B34" s="116"/>
      <c r="C34" s="6" t="s">
        <v>127</v>
      </c>
      <c r="D34" s="6" t="s">
        <v>23</v>
      </c>
      <c r="E34" s="6" t="s">
        <v>21</v>
      </c>
      <c r="F34" s="6" t="s">
        <v>21</v>
      </c>
      <c r="G34" s="6" t="s">
        <v>23</v>
      </c>
    </row>
    <row r="35" spans="1:7">
      <c r="A35" s="132"/>
      <c r="B35" s="116"/>
      <c r="C35" s="6" t="s">
        <v>128</v>
      </c>
      <c r="D35" s="6" t="s">
        <v>23</v>
      </c>
      <c r="E35" s="6" t="s">
        <v>23</v>
      </c>
      <c r="F35" s="6" t="s">
        <v>21</v>
      </c>
      <c r="G35" s="6" t="s">
        <v>23</v>
      </c>
    </row>
    <row r="36" spans="1:7">
      <c r="A36" s="132"/>
      <c r="B36" s="116"/>
      <c r="C36" s="6" t="s">
        <v>129</v>
      </c>
      <c r="D36" s="6" t="s">
        <v>23</v>
      </c>
      <c r="E36" s="6" t="s">
        <v>21</v>
      </c>
      <c r="F36" s="6" t="s">
        <v>21</v>
      </c>
      <c r="G36" s="6" t="s">
        <v>12</v>
      </c>
    </row>
    <row r="37" spans="1:7">
      <c r="A37" s="132"/>
      <c r="B37" s="116"/>
      <c r="C37" s="6" t="s">
        <v>130</v>
      </c>
      <c r="D37" s="6" t="s">
        <v>23</v>
      </c>
      <c r="E37" s="6" t="s">
        <v>21</v>
      </c>
      <c r="F37" s="6" t="s">
        <v>23</v>
      </c>
      <c r="G37" s="6" t="s">
        <v>12</v>
      </c>
    </row>
    <row r="38" spans="1:7">
      <c r="A38" s="132"/>
      <c r="B38" s="116"/>
      <c r="C38" s="6" t="s">
        <v>131</v>
      </c>
      <c r="D38" s="6" t="s">
        <v>132</v>
      </c>
      <c r="E38" s="6" t="s">
        <v>21</v>
      </c>
      <c r="F38" s="6" t="s">
        <v>21</v>
      </c>
      <c r="G38" s="6" t="s">
        <v>23</v>
      </c>
    </row>
    <row r="39" spans="1:7">
      <c r="A39" s="132"/>
      <c r="B39" s="116"/>
      <c r="C39" s="6" t="s">
        <v>133</v>
      </c>
      <c r="D39" s="6" t="s">
        <v>23</v>
      </c>
      <c r="E39" s="6" t="s">
        <v>23</v>
      </c>
      <c r="F39" s="6" t="s">
        <v>21</v>
      </c>
      <c r="G39" s="6" t="s">
        <v>23</v>
      </c>
    </row>
    <row r="40" spans="1:7" ht="17.100000000000001" thickBot="1">
      <c r="A40" s="132"/>
      <c r="B40" s="127"/>
      <c r="C40" s="9" t="s">
        <v>134</v>
      </c>
      <c r="D40" s="9" t="s">
        <v>23</v>
      </c>
      <c r="E40" s="9" t="s">
        <v>23</v>
      </c>
      <c r="F40" s="9" t="s">
        <v>23</v>
      </c>
      <c r="G40" s="9" t="s">
        <v>23</v>
      </c>
    </row>
    <row r="41" spans="1:7">
      <c r="A41" s="133"/>
      <c r="B41" s="126" t="s">
        <v>135</v>
      </c>
      <c r="C41" s="4" t="s">
        <v>136</v>
      </c>
      <c r="D41" s="4" t="s">
        <v>23</v>
      </c>
      <c r="E41" s="4" t="s">
        <v>23</v>
      </c>
      <c r="F41" s="4" t="s">
        <v>21</v>
      </c>
      <c r="G41" s="4" t="s">
        <v>23</v>
      </c>
    </row>
    <row r="42" spans="1:7">
      <c r="A42" s="133"/>
      <c r="B42" s="116"/>
      <c r="C42" s="6" t="s">
        <v>137</v>
      </c>
      <c r="D42" s="6" t="s">
        <v>132</v>
      </c>
      <c r="E42" s="6" t="s">
        <v>21</v>
      </c>
      <c r="F42" s="6" t="s">
        <v>21</v>
      </c>
      <c r="G42" s="6" t="s">
        <v>21</v>
      </c>
    </row>
    <row r="43" spans="1:7">
      <c r="A43" s="133"/>
      <c r="B43" s="116"/>
      <c r="C43" s="6" t="s">
        <v>138</v>
      </c>
      <c r="D43" s="6" t="s">
        <v>21</v>
      </c>
      <c r="E43" s="6" t="s">
        <v>12</v>
      </c>
      <c r="F43" s="6" t="s">
        <v>12</v>
      </c>
      <c r="G43" s="6" t="s">
        <v>12</v>
      </c>
    </row>
    <row r="44" spans="1:7">
      <c r="A44" s="133"/>
      <c r="B44" s="116"/>
      <c r="C44" s="6" t="s">
        <v>139</v>
      </c>
      <c r="D44" s="6" t="s">
        <v>12</v>
      </c>
      <c r="E44" s="6" t="s">
        <v>12</v>
      </c>
      <c r="F44" s="6" t="s">
        <v>12</v>
      </c>
      <c r="G44" s="6" t="s">
        <v>12</v>
      </c>
    </row>
    <row r="45" spans="1:7">
      <c r="A45" s="133"/>
      <c r="B45" s="116"/>
      <c r="C45" s="6" t="s">
        <v>140</v>
      </c>
      <c r="D45" s="6" t="s">
        <v>23</v>
      </c>
      <c r="E45" s="6" t="s">
        <v>21</v>
      </c>
      <c r="F45" s="6" t="s">
        <v>21</v>
      </c>
      <c r="G45" s="6" t="s">
        <v>12</v>
      </c>
    </row>
    <row r="46" spans="1:7">
      <c r="A46" s="133"/>
      <c r="B46" s="116"/>
      <c r="C46" s="6" t="s">
        <v>141</v>
      </c>
      <c r="D46" s="6" t="s">
        <v>23</v>
      </c>
      <c r="E46" s="6" t="s">
        <v>23</v>
      </c>
      <c r="F46" s="6" t="s">
        <v>23</v>
      </c>
      <c r="G46" s="6" t="s">
        <v>23</v>
      </c>
    </row>
    <row r="47" spans="1:7">
      <c r="A47" s="133"/>
      <c r="B47" s="116"/>
      <c r="C47" s="6" t="s">
        <v>142</v>
      </c>
      <c r="D47" s="6" t="s">
        <v>23</v>
      </c>
      <c r="E47" s="6" t="s">
        <v>23</v>
      </c>
      <c r="F47" s="6" t="s">
        <v>23</v>
      </c>
      <c r="G47" s="6" t="s">
        <v>23</v>
      </c>
    </row>
    <row r="48" spans="1:7">
      <c r="A48" s="133"/>
      <c r="B48" s="116"/>
      <c r="C48" s="6" t="s">
        <v>143</v>
      </c>
      <c r="D48" s="6" t="s">
        <v>23</v>
      </c>
      <c r="E48" s="6" t="s">
        <v>23</v>
      </c>
      <c r="F48" s="6" t="s">
        <v>23</v>
      </c>
      <c r="G48" s="6" t="s">
        <v>23</v>
      </c>
    </row>
    <row r="49" spans="1:7">
      <c r="A49" s="133"/>
      <c r="B49" s="116"/>
      <c r="C49" s="6" t="s">
        <v>144</v>
      </c>
      <c r="D49" s="6" t="s">
        <v>23</v>
      </c>
      <c r="E49" s="6" t="s">
        <v>21</v>
      </c>
      <c r="F49" s="6" t="s">
        <v>21</v>
      </c>
      <c r="G49" s="6" t="s">
        <v>23</v>
      </c>
    </row>
    <row r="50" spans="1:7">
      <c r="A50" s="133"/>
      <c r="B50" s="116"/>
      <c r="C50" s="6" t="s">
        <v>145</v>
      </c>
      <c r="D50" s="6" t="s">
        <v>23</v>
      </c>
      <c r="E50" s="6" t="s">
        <v>23</v>
      </c>
      <c r="F50" s="6" t="s">
        <v>23</v>
      </c>
      <c r="G50" s="6" t="s">
        <v>23</v>
      </c>
    </row>
    <row r="51" spans="1:7">
      <c r="A51" s="133"/>
      <c r="B51" s="116"/>
      <c r="C51" s="6" t="s">
        <v>146</v>
      </c>
      <c r="D51" s="6" t="s">
        <v>21</v>
      </c>
      <c r="E51" s="6" t="s">
        <v>12</v>
      </c>
      <c r="F51" s="6" t="s">
        <v>12</v>
      </c>
      <c r="G51" s="6" t="s">
        <v>23</v>
      </c>
    </row>
    <row r="52" spans="1:7">
      <c r="A52" s="133"/>
      <c r="B52" s="116"/>
      <c r="C52" s="6" t="s">
        <v>147</v>
      </c>
      <c r="D52" s="6" t="s">
        <v>23</v>
      </c>
      <c r="E52" s="6" t="s">
        <v>23</v>
      </c>
      <c r="F52" s="6" t="s">
        <v>23</v>
      </c>
      <c r="G52" s="6" t="s">
        <v>23</v>
      </c>
    </row>
    <row r="53" spans="1:7" ht="17.100000000000001" thickBot="1">
      <c r="A53" s="133"/>
      <c r="B53" s="117"/>
      <c r="C53" s="33" t="s">
        <v>148</v>
      </c>
      <c r="D53" s="15" t="s">
        <v>23</v>
      </c>
      <c r="E53" s="15" t="s">
        <v>23</v>
      </c>
      <c r="F53" s="15" t="s">
        <v>23</v>
      </c>
      <c r="G53" s="15" t="s">
        <v>23</v>
      </c>
    </row>
    <row r="54" spans="1:7" ht="17.100000000000001" thickBot="1">
      <c r="A54" s="134"/>
      <c r="B54" s="27" t="s">
        <v>149</v>
      </c>
      <c r="C54" s="31" t="s">
        <v>150</v>
      </c>
      <c r="D54" s="32" t="s">
        <v>151</v>
      </c>
      <c r="E54" s="32" t="s">
        <v>151</v>
      </c>
      <c r="F54" s="32" t="s">
        <v>151</v>
      </c>
      <c r="G54" s="32" t="s">
        <v>151</v>
      </c>
    </row>
  </sheetData>
  <mergeCells count="8">
    <mergeCell ref="A5:A54"/>
    <mergeCell ref="B6:B27"/>
    <mergeCell ref="B28:B40"/>
    <mergeCell ref="B41:B53"/>
    <mergeCell ref="A1:G1"/>
    <mergeCell ref="A2:A4"/>
    <mergeCell ref="B2:B4"/>
    <mergeCell ref="C2:C4"/>
  </mergeCells>
  <conditionalFormatting sqref="D2:G54">
    <cfRule type="cellIs" dxfId="9" priority="4" operator="equal">
      <formula>"Minimum"</formula>
    </cfRule>
    <cfRule type="cellIs" dxfId="8" priority="5" operator="equal">
      <formula>"Standard"</formula>
    </cfRule>
    <cfRule type="cellIs" dxfId="7" priority="6" operator="equal">
      <formula>"Optimal"</formula>
    </cfRule>
    <cfRule type="cellIs" dxfId="6" priority="7" operator="equal">
      <formula>"Not applicable"</formula>
    </cfRule>
    <cfRule type="cellIs" dxfId="5" priority="8" operator="equal">
      <formula>"Discontinue"</formula>
    </cfRule>
  </conditionalFormatting>
  <dataValidations count="1">
    <dataValidation type="list" allowBlank="1" showInputMessage="1" showErrorMessage="1" sqref="D2:G4" xr:uid="{50108B92-2134-C74B-A2D6-7B89A52A8AD3}">
      <formula1>Package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03559-7997-FE48-9338-C16D5F35C8D5}">
  <dimension ref="A1:G38"/>
  <sheetViews>
    <sheetView topLeftCell="A15" workbookViewId="0">
      <selection activeCell="C38" sqref="C38"/>
    </sheetView>
  </sheetViews>
  <sheetFormatPr defaultColWidth="11" defaultRowHeight="15.95"/>
  <cols>
    <col min="1" max="1" width="15.125" customWidth="1"/>
    <col min="2" max="2" width="23.125" customWidth="1"/>
    <col min="3" max="3" width="54" customWidth="1"/>
    <col min="4" max="4" width="16.625" customWidth="1"/>
    <col min="5" max="5" width="15" customWidth="1"/>
    <col min="6" max="6" width="16" customWidth="1"/>
    <col min="7" max="7" width="16.125" customWidth="1"/>
  </cols>
  <sheetData>
    <row r="1" spans="1:7" ht="17.100000000000001" thickBot="1">
      <c r="A1" s="141" t="s">
        <v>93</v>
      </c>
      <c r="B1" s="141"/>
      <c r="C1" s="141"/>
      <c r="D1" s="141"/>
      <c r="E1" s="141"/>
      <c r="F1" s="141"/>
      <c r="G1" s="141"/>
    </row>
    <row r="2" spans="1:7">
      <c r="A2" s="142"/>
      <c r="B2" s="144"/>
      <c r="C2" s="139"/>
      <c r="D2" s="28" t="s">
        <v>3</v>
      </c>
      <c r="E2" s="28" t="s">
        <v>4</v>
      </c>
      <c r="F2" s="28" t="s">
        <v>5</v>
      </c>
      <c r="G2" s="28" t="s">
        <v>6</v>
      </c>
    </row>
    <row r="3" spans="1:7">
      <c r="A3" s="143"/>
      <c r="B3" s="145"/>
      <c r="C3" s="113"/>
      <c r="D3" s="1" t="str">
        <f>'[1]Scenario overview'!B6</f>
        <v>A high-burden country close to reaching 95s across all populations</v>
      </c>
      <c r="E3" s="1" t="str">
        <f>'[1]Scenario overview'!B7</f>
        <v>A high-burden country close to reaching 95s, but not in all populations</v>
      </c>
      <c r="F3" s="1" t="str">
        <f>'[1]Scenario overview'!B8</f>
        <v>A high-burden country not yet achieving one or more of the 95s</v>
      </c>
      <c r="G3" s="1" t="str">
        <f>'[1]Scenario overview'!B9</f>
        <v>A low-burden country achieving one or more of the 95s</v>
      </c>
    </row>
    <row r="4" spans="1:7" ht="17.100000000000001" thickBot="1">
      <c r="A4" s="143"/>
      <c r="B4" s="146"/>
      <c r="C4" s="114"/>
      <c r="D4" s="2" t="str">
        <f>'[1]Scenario overview'!C6</f>
        <v>Limited, possibly some unsuppressed ART clients and some specific sub-segments that are generally underserved</v>
      </c>
      <c r="E4" s="2" t="str">
        <f>'[1]Scenario overview'!C7</f>
        <v>Adolescent girls and young women, key populations, men</v>
      </c>
      <c r="F4" s="2" t="str">
        <f>'[1]Scenario overview'!C8</f>
        <v>Clinically unstable/symptomatic, gaps in all population groups</v>
      </c>
      <c r="G4" s="2" t="str">
        <f>'[1]Scenario overview'!C9</f>
        <v>Clinically unstable/symptomatic, gaps in all population groups</v>
      </c>
    </row>
    <row r="5" spans="1:7">
      <c r="A5" s="121" t="s">
        <v>152</v>
      </c>
      <c r="B5" s="126" t="s">
        <v>153</v>
      </c>
      <c r="C5" s="4" t="s">
        <v>154</v>
      </c>
      <c r="D5" s="4" t="s">
        <v>12</v>
      </c>
      <c r="E5" s="4" t="s">
        <v>12</v>
      </c>
      <c r="F5" s="4" t="s">
        <v>12</v>
      </c>
      <c r="G5" s="4" t="s">
        <v>12</v>
      </c>
    </row>
    <row r="6" spans="1:7">
      <c r="A6" s="121"/>
      <c r="B6" s="116"/>
      <c r="C6" s="6" t="s">
        <v>155</v>
      </c>
      <c r="D6" s="6" t="s">
        <v>12</v>
      </c>
      <c r="E6" s="6" t="s">
        <v>12</v>
      </c>
      <c r="F6" s="6" t="s">
        <v>12</v>
      </c>
      <c r="G6" s="6" t="s">
        <v>12</v>
      </c>
    </row>
    <row r="7" spans="1:7" ht="17.100000000000001" thickBot="1">
      <c r="A7" s="121"/>
      <c r="B7" s="117"/>
      <c r="C7" s="15" t="s">
        <v>156</v>
      </c>
      <c r="D7" s="15" t="s">
        <v>12</v>
      </c>
      <c r="E7" s="15" t="s">
        <v>12</v>
      </c>
      <c r="F7" s="15" t="s">
        <v>12</v>
      </c>
      <c r="G7" s="15" t="s">
        <v>12</v>
      </c>
    </row>
    <row r="8" spans="1:7">
      <c r="A8" s="121"/>
      <c r="B8" s="126" t="s">
        <v>157</v>
      </c>
      <c r="C8" s="4" t="s">
        <v>158</v>
      </c>
      <c r="D8" s="4" t="s">
        <v>12</v>
      </c>
      <c r="E8" s="4" t="s">
        <v>12</v>
      </c>
      <c r="F8" s="4" t="s">
        <v>12</v>
      </c>
      <c r="G8" s="4" t="s">
        <v>12</v>
      </c>
    </row>
    <row r="9" spans="1:7" ht="17.100000000000001" thickBot="1">
      <c r="A9" s="121"/>
      <c r="B9" s="117"/>
      <c r="C9" s="15" t="s">
        <v>159</v>
      </c>
      <c r="D9" s="15" t="s">
        <v>12</v>
      </c>
      <c r="E9" s="15" t="s">
        <v>12</v>
      </c>
      <c r="F9" s="15" t="s">
        <v>12</v>
      </c>
      <c r="G9" s="15" t="s">
        <v>12</v>
      </c>
    </row>
    <row r="10" spans="1:7">
      <c r="A10" s="121"/>
      <c r="B10" s="126" t="s">
        <v>160</v>
      </c>
      <c r="C10" s="4" t="s">
        <v>161</v>
      </c>
      <c r="D10" s="4" t="s">
        <v>12</v>
      </c>
      <c r="E10" s="4" t="s">
        <v>12</v>
      </c>
      <c r="F10" s="4" t="s">
        <v>12</v>
      </c>
      <c r="G10" s="4" t="s">
        <v>12</v>
      </c>
    </row>
    <row r="11" spans="1:7">
      <c r="A11" s="121"/>
      <c r="B11" s="116"/>
      <c r="C11" s="6" t="s">
        <v>162</v>
      </c>
      <c r="D11" s="6" t="s">
        <v>12</v>
      </c>
      <c r="E11" s="6" t="s">
        <v>12</v>
      </c>
      <c r="F11" s="6" t="s">
        <v>12</v>
      </c>
      <c r="G11" s="6" t="s">
        <v>12</v>
      </c>
    </row>
    <row r="12" spans="1:7" ht="17.100000000000001" thickBot="1">
      <c r="A12" s="121"/>
      <c r="B12" s="117"/>
      <c r="C12" s="15" t="s">
        <v>163</v>
      </c>
      <c r="D12" s="15" t="s">
        <v>23</v>
      </c>
      <c r="E12" s="15" t="s">
        <v>23</v>
      </c>
      <c r="F12" s="15" t="s">
        <v>21</v>
      </c>
      <c r="G12" s="15" t="s">
        <v>23</v>
      </c>
    </row>
    <row r="13" spans="1:7">
      <c r="A13" s="121"/>
      <c r="B13" s="126" t="s">
        <v>164</v>
      </c>
      <c r="C13" s="4" t="s">
        <v>165</v>
      </c>
      <c r="D13" s="4" t="s">
        <v>12</v>
      </c>
      <c r="E13" s="4" t="s">
        <v>12</v>
      </c>
      <c r="F13" s="4" t="s">
        <v>12</v>
      </c>
      <c r="G13" s="4" t="s">
        <v>12</v>
      </c>
    </row>
    <row r="14" spans="1:7">
      <c r="A14" s="121"/>
      <c r="B14" s="116"/>
      <c r="C14" s="6" t="s">
        <v>166</v>
      </c>
      <c r="D14" s="6" t="s">
        <v>12</v>
      </c>
      <c r="E14" s="6" t="s">
        <v>12</v>
      </c>
      <c r="F14" s="6" t="s">
        <v>12</v>
      </c>
      <c r="G14" s="6" t="s">
        <v>23</v>
      </c>
    </row>
    <row r="15" spans="1:7">
      <c r="A15" s="121"/>
      <c r="B15" s="116"/>
      <c r="C15" s="6" t="s">
        <v>167</v>
      </c>
      <c r="D15" s="6" t="s">
        <v>21</v>
      </c>
      <c r="E15" s="6" t="s">
        <v>21</v>
      </c>
      <c r="F15" s="6" t="s">
        <v>21</v>
      </c>
      <c r="G15" s="6" t="s">
        <v>23</v>
      </c>
    </row>
    <row r="16" spans="1:7">
      <c r="A16" s="121"/>
      <c r="B16" s="116"/>
      <c r="C16" s="6" t="s">
        <v>168</v>
      </c>
      <c r="D16" s="6" t="s">
        <v>12</v>
      </c>
      <c r="E16" s="6" t="s">
        <v>12</v>
      </c>
      <c r="F16" s="6" t="s">
        <v>12</v>
      </c>
      <c r="G16" s="6" t="s">
        <v>12</v>
      </c>
    </row>
    <row r="17" spans="1:7">
      <c r="A17" s="121"/>
      <c r="B17" s="116"/>
      <c r="C17" s="6" t="s">
        <v>169</v>
      </c>
      <c r="D17" s="6" t="s">
        <v>23</v>
      </c>
      <c r="E17" s="6" t="s">
        <v>23</v>
      </c>
      <c r="F17" s="6" t="s">
        <v>23</v>
      </c>
      <c r="G17" s="6" t="s">
        <v>23</v>
      </c>
    </row>
    <row r="18" spans="1:7">
      <c r="A18" s="121"/>
      <c r="B18" s="116"/>
      <c r="C18" s="34" t="s">
        <v>170</v>
      </c>
      <c r="D18" s="6" t="s">
        <v>21</v>
      </c>
      <c r="E18" s="6" t="s">
        <v>21</v>
      </c>
      <c r="F18" s="6" t="s">
        <v>21</v>
      </c>
      <c r="G18" s="6" t="s">
        <v>21</v>
      </c>
    </row>
    <row r="19" spans="1:7">
      <c r="A19" s="121"/>
      <c r="B19" s="116"/>
      <c r="C19" s="6" t="s">
        <v>171</v>
      </c>
      <c r="D19" s="6" t="s">
        <v>21</v>
      </c>
      <c r="E19" s="6" t="s">
        <v>21</v>
      </c>
      <c r="F19" s="6" t="s">
        <v>21</v>
      </c>
      <c r="G19" s="6" t="s">
        <v>23</v>
      </c>
    </row>
    <row r="20" spans="1:7">
      <c r="A20" s="121"/>
      <c r="B20" s="116"/>
      <c r="C20" s="6" t="s">
        <v>172</v>
      </c>
      <c r="D20" s="6" t="s">
        <v>23</v>
      </c>
      <c r="E20" s="6" t="s">
        <v>23</v>
      </c>
      <c r="F20" s="6" t="s">
        <v>23</v>
      </c>
      <c r="G20" s="6" t="s">
        <v>23</v>
      </c>
    </row>
    <row r="21" spans="1:7">
      <c r="A21" s="121"/>
      <c r="B21" s="116"/>
      <c r="C21" s="6" t="s">
        <v>173</v>
      </c>
      <c r="D21" s="6" t="s">
        <v>23</v>
      </c>
      <c r="E21" s="6" t="s">
        <v>23</v>
      </c>
      <c r="F21" s="6" t="s">
        <v>23</v>
      </c>
      <c r="G21" s="6" t="s">
        <v>23</v>
      </c>
    </row>
    <row r="22" spans="1:7">
      <c r="A22" s="121"/>
      <c r="B22" s="116"/>
      <c r="C22" s="6" t="s">
        <v>174</v>
      </c>
      <c r="D22" s="6" t="s">
        <v>23</v>
      </c>
      <c r="E22" s="6" t="s">
        <v>23</v>
      </c>
      <c r="F22" s="6" t="s">
        <v>23</v>
      </c>
      <c r="G22" s="6" t="s">
        <v>23</v>
      </c>
    </row>
    <row r="23" spans="1:7" ht="17.100000000000001" thickBot="1">
      <c r="A23" s="121"/>
      <c r="B23" s="117"/>
      <c r="C23" s="15" t="s">
        <v>175</v>
      </c>
      <c r="D23" s="15" t="s">
        <v>23</v>
      </c>
      <c r="E23" s="15" t="s">
        <v>23</v>
      </c>
      <c r="F23" s="15" t="s">
        <v>23</v>
      </c>
      <c r="G23" s="15" t="s">
        <v>23</v>
      </c>
    </row>
    <row r="24" spans="1:7">
      <c r="A24" s="121"/>
      <c r="B24" s="126" t="s">
        <v>176</v>
      </c>
      <c r="C24" s="4" t="s">
        <v>177</v>
      </c>
      <c r="D24" s="4" t="s">
        <v>21</v>
      </c>
      <c r="E24" s="4" t="s">
        <v>21</v>
      </c>
      <c r="F24" s="4" t="s">
        <v>12</v>
      </c>
      <c r="G24" s="4" t="s">
        <v>23</v>
      </c>
    </row>
    <row r="25" spans="1:7">
      <c r="A25" s="121"/>
      <c r="B25" s="116"/>
      <c r="C25" s="6" t="s">
        <v>178</v>
      </c>
      <c r="D25" s="6" t="s">
        <v>23</v>
      </c>
      <c r="E25" s="6" t="s">
        <v>23</v>
      </c>
      <c r="F25" s="6" t="s">
        <v>23</v>
      </c>
      <c r="G25" s="6" t="s">
        <v>23</v>
      </c>
    </row>
    <row r="26" spans="1:7">
      <c r="A26" s="121"/>
      <c r="B26" s="116"/>
      <c r="C26" s="6" t="s">
        <v>179</v>
      </c>
      <c r="D26" s="6" t="s">
        <v>21</v>
      </c>
      <c r="E26" s="6" t="s">
        <v>12</v>
      </c>
      <c r="F26" s="6" t="s">
        <v>12</v>
      </c>
      <c r="G26" s="6" t="s">
        <v>12</v>
      </c>
    </row>
    <row r="27" spans="1:7">
      <c r="A27" s="121"/>
      <c r="B27" s="116"/>
      <c r="C27" s="6" t="s">
        <v>180</v>
      </c>
      <c r="D27" s="6" t="s">
        <v>23</v>
      </c>
      <c r="E27" s="6" t="s">
        <v>21</v>
      </c>
      <c r="F27" s="6" t="s">
        <v>21</v>
      </c>
      <c r="G27" s="6" t="s">
        <v>23</v>
      </c>
    </row>
    <row r="28" spans="1:7">
      <c r="A28" s="121"/>
      <c r="B28" s="116"/>
      <c r="C28" s="6" t="s">
        <v>181</v>
      </c>
      <c r="D28" s="6" t="s">
        <v>23</v>
      </c>
      <c r="E28" s="6" t="s">
        <v>23</v>
      </c>
      <c r="F28" s="6" t="s">
        <v>23</v>
      </c>
      <c r="G28" s="6" t="s">
        <v>23</v>
      </c>
    </row>
    <row r="29" spans="1:7">
      <c r="A29" s="121"/>
      <c r="B29" s="116"/>
      <c r="C29" s="6" t="s">
        <v>182</v>
      </c>
      <c r="D29" s="6" t="s">
        <v>23</v>
      </c>
      <c r="E29" s="6" t="s">
        <v>21</v>
      </c>
      <c r="F29" s="6" t="s">
        <v>21</v>
      </c>
      <c r="G29" s="6" t="s">
        <v>23</v>
      </c>
    </row>
    <row r="30" spans="1:7">
      <c r="A30" s="121"/>
      <c r="B30" s="116"/>
      <c r="C30" s="6" t="s">
        <v>183</v>
      </c>
      <c r="D30" s="6" t="s">
        <v>23</v>
      </c>
      <c r="E30" s="6" t="s">
        <v>23</v>
      </c>
      <c r="F30" s="6" t="s">
        <v>23</v>
      </c>
      <c r="G30" s="6" t="s">
        <v>23</v>
      </c>
    </row>
    <row r="31" spans="1:7">
      <c r="A31" s="121"/>
      <c r="B31" s="116"/>
      <c r="C31" s="6" t="s">
        <v>174</v>
      </c>
      <c r="D31" s="6" t="s">
        <v>23</v>
      </c>
      <c r="E31" s="6" t="s">
        <v>23</v>
      </c>
      <c r="F31" s="6" t="s">
        <v>23</v>
      </c>
      <c r="G31" s="6" t="s">
        <v>23</v>
      </c>
    </row>
    <row r="32" spans="1:7">
      <c r="A32" s="121"/>
      <c r="B32" s="116"/>
      <c r="C32" s="6" t="s">
        <v>184</v>
      </c>
      <c r="D32" s="6" t="s">
        <v>23</v>
      </c>
      <c r="E32" s="6" t="s">
        <v>23</v>
      </c>
      <c r="F32" s="6" t="s">
        <v>23</v>
      </c>
      <c r="G32" s="6" t="s">
        <v>23</v>
      </c>
    </row>
    <row r="33" spans="1:7" ht="17.100000000000001" thickBot="1">
      <c r="A33" s="121"/>
      <c r="B33" s="117"/>
      <c r="C33" s="15" t="s">
        <v>185</v>
      </c>
      <c r="D33" s="15" t="s">
        <v>12</v>
      </c>
      <c r="E33" s="15" t="s">
        <v>12</v>
      </c>
      <c r="F33" s="15" t="s">
        <v>12</v>
      </c>
      <c r="G33" s="15" t="s">
        <v>12</v>
      </c>
    </row>
    <row r="34" spans="1:7">
      <c r="A34" s="121"/>
      <c r="B34" s="126" t="s">
        <v>186</v>
      </c>
      <c r="C34" s="35" t="s">
        <v>187</v>
      </c>
      <c r="D34" s="4" t="s">
        <v>12</v>
      </c>
      <c r="E34" s="4" t="s">
        <v>12</v>
      </c>
      <c r="F34" s="4" t="s">
        <v>12</v>
      </c>
      <c r="G34" s="4" t="s">
        <v>12</v>
      </c>
    </row>
    <row r="35" spans="1:7">
      <c r="A35" s="121"/>
      <c r="B35" s="116"/>
      <c r="C35" s="36" t="s">
        <v>188</v>
      </c>
      <c r="D35" s="6" t="s">
        <v>23</v>
      </c>
      <c r="E35" s="6" t="s">
        <v>21</v>
      </c>
      <c r="F35" s="6" t="s">
        <v>21</v>
      </c>
      <c r="G35" s="6" t="s">
        <v>23</v>
      </c>
    </row>
    <row r="36" spans="1:7">
      <c r="A36" s="121"/>
      <c r="B36" s="116"/>
      <c r="C36" s="6" t="s">
        <v>189</v>
      </c>
      <c r="D36" s="6" t="s">
        <v>21</v>
      </c>
      <c r="E36" s="6" t="s">
        <v>21</v>
      </c>
      <c r="F36" s="6" t="s">
        <v>21</v>
      </c>
      <c r="G36" s="6" t="s">
        <v>21</v>
      </c>
    </row>
    <row r="37" spans="1:7" ht="17.100000000000001" thickBot="1">
      <c r="A37" s="121"/>
      <c r="B37" s="117"/>
      <c r="C37" s="15" t="s">
        <v>190</v>
      </c>
      <c r="D37" s="15" t="s">
        <v>23</v>
      </c>
      <c r="E37" s="15" t="s">
        <v>23</v>
      </c>
      <c r="F37" s="15" t="s">
        <v>23</v>
      </c>
      <c r="G37" s="15" t="s">
        <v>23</v>
      </c>
    </row>
    <row r="38" spans="1:7" ht="17.100000000000001" thickBot="1">
      <c r="A38" s="122"/>
      <c r="B38" s="26" t="s">
        <v>191</v>
      </c>
      <c r="C38" s="30" t="s">
        <v>192</v>
      </c>
      <c r="D38" s="30" t="s">
        <v>23</v>
      </c>
      <c r="E38" s="30" t="s">
        <v>23</v>
      </c>
      <c r="F38" s="30" t="s">
        <v>21</v>
      </c>
      <c r="G38" s="30" t="s">
        <v>23</v>
      </c>
    </row>
  </sheetData>
  <mergeCells count="11">
    <mergeCell ref="A1:G1"/>
    <mergeCell ref="A2:A4"/>
    <mergeCell ref="B2:B4"/>
    <mergeCell ref="C2:C4"/>
    <mergeCell ref="A5:A38"/>
    <mergeCell ref="B5:B7"/>
    <mergeCell ref="B8:B9"/>
    <mergeCell ref="B10:B12"/>
    <mergeCell ref="B13:B23"/>
    <mergeCell ref="B24:B33"/>
    <mergeCell ref="B34:B37"/>
  </mergeCells>
  <conditionalFormatting sqref="D2:G38">
    <cfRule type="cellIs" dxfId="4" priority="1" operator="equal">
      <formula>"Not applicable"</formula>
    </cfRule>
    <cfRule type="cellIs" dxfId="3" priority="2" operator="equal">
      <formula>"Discontinue"</formula>
    </cfRule>
    <cfRule type="cellIs" dxfId="2" priority="3" operator="equal">
      <formula>"Minimum"</formula>
    </cfRule>
    <cfRule type="cellIs" dxfId="1" priority="4" operator="equal">
      <formula>"Standard"</formula>
    </cfRule>
    <cfRule type="cellIs" dxfId="0" priority="5" operator="equal">
      <formula>"Optimal"</formula>
    </cfRule>
  </conditionalFormatting>
  <dataValidations count="1">
    <dataValidation type="list" allowBlank="1" showInputMessage="1" showErrorMessage="1" sqref="D2:G4" xr:uid="{403D9409-3504-8849-AA5F-1244EE89686B}">
      <formula1>Package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C777E-CA3B-2741-A6EF-7E74D6D879C4}">
  <dimension ref="A1:K79"/>
  <sheetViews>
    <sheetView tabSelected="1" topLeftCell="A37" workbookViewId="0">
      <selection activeCell="F51" sqref="F51"/>
    </sheetView>
  </sheetViews>
  <sheetFormatPr defaultColWidth="11" defaultRowHeight="15.95"/>
  <cols>
    <col min="1" max="1" width="17.625" bestFit="1" customWidth="1"/>
    <col min="2" max="2" width="53.625" bestFit="1" customWidth="1"/>
    <col min="3" max="3" width="14.125" bestFit="1" customWidth="1"/>
    <col min="4" max="4" width="14.625" bestFit="1" customWidth="1"/>
    <col min="5" max="5" width="15.625" customWidth="1"/>
    <col min="6" max="6" width="17.125" bestFit="1" customWidth="1"/>
    <col min="7" max="7" width="17.625" bestFit="1" customWidth="1"/>
    <col min="10" max="10" width="64.875" customWidth="1"/>
  </cols>
  <sheetData>
    <row r="1" spans="1:11">
      <c r="A1" s="66" t="s">
        <v>193</v>
      </c>
    </row>
    <row r="2" spans="1:11" ht="17.100000000000001" thickBot="1"/>
    <row r="3" spans="1:11" ht="17.100000000000001" thickBot="1">
      <c r="A3" s="74" t="s">
        <v>0</v>
      </c>
      <c r="B3" s="75" t="s">
        <v>1</v>
      </c>
      <c r="C3" s="75" t="s">
        <v>194</v>
      </c>
      <c r="D3" s="75" t="s">
        <v>195</v>
      </c>
      <c r="E3" s="75" t="s">
        <v>196</v>
      </c>
      <c r="F3" s="75" t="s">
        <v>197</v>
      </c>
      <c r="G3" s="75" t="s">
        <v>198</v>
      </c>
      <c r="H3" s="76" t="s">
        <v>199</v>
      </c>
    </row>
    <row r="4" spans="1:11" ht="15.75">
      <c r="A4" s="77" t="s">
        <v>9</v>
      </c>
      <c r="B4" s="43" t="s">
        <v>200</v>
      </c>
      <c r="C4" s="54" t="s">
        <v>201</v>
      </c>
      <c r="D4" s="54"/>
      <c r="E4" s="54"/>
      <c r="F4" s="54" t="s">
        <v>201</v>
      </c>
      <c r="G4" s="54" t="s">
        <v>201</v>
      </c>
      <c r="H4" s="55" t="s">
        <v>201</v>
      </c>
      <c r="J4" s="111" t="s">
        <v>202</v>
      </c>
      <c r="K4" s="53" t="s">
        <v>203</v>
      </c>
    </row>
    <row r="5" spans="1:11" ht="15.75">
      <c r="A5" s="77"/>
      <c r="B5" s="56" t="s">
        <v>204</v>
      </c>
      <c r="C5" s="78"/>
      <c r="D5" s="78"/>
      <c r="E5" s="72"/>
      <c r="F5" s="78"/>
      <c r="G5" s="78"/>
      <c r="H5" s="57"/>
      <c r="J5" s="65" t="s">
        <v>205</v>
      </c>
    </row>
    <row r="6" spans="1:11">
      <c r="A6" s="77"/>
      <c r="B6" s="56" t="s">
        <v>15</v>
      </c>
      <c r="C6" s="72"/>
      <c r="D6" s="72"/>
      <c r="E6" s="72"/>
      <c r="F6" s="72" t="s">
        <v>201</v>
      </c>
      <c r="G6" s="72" t="s">
        <v>201</v>
      </c>
      <c r="H6" s="49"/>
      <c r="J6" s="52"/>
    </row>
    <row r="7" spans="1:11" ht="17.100000000000001" thickBot="1">
      <c r="A7" s="77"/>
      <c r="B7" s="58" t="s">
        <v>18</v>
      </c>
      <c r="C7" s="50"/>
      <c r="D7" s="50"/>
      <c r="E7" s="50"/>
      <c r="F7" s="50" t="s">
        <v>201</v>
      </c>
      <c r="G7" s="50" t="s">
        <v>201</v>
      </c>
      <c r="H7" s="51"/>
      <c r="J7" s="52"/>
    </row>
    <row r="8" spans="1:11" ht="17.100000000000001" thickBot="1">
      <c r="A8" s="79"/>
      <c r="B8" s="59" t="s">
        <v>29</v>
      </c>
      <c r="C8" s="60"/>
      <c r="D8" s="60"/>
      <c r="E8" s="60"/>
      <c r="F8" s="60"/>
      <c r="G8" s="60"/>
      <c r="H8" s="63" t="s">
        <v>201</v>
      </c>
    </row>
    <row r="9" spans="1:11" ht="17.100000000000001" thickBot="1">
      <c r="A9" s="79"/>
      <c r="B9" s="59" t="s">
        <v>36</v>
      </c>
      <c r="C9" s="54" t="s">
        <v>201</v>
      </c>
      <c r="D9" s="54" t="s">
        <v>201</v>
      </c>
      <c r="E9" s="54"/>
      <c r="F9" s="54" t="s">
        <v>201</v>
      </c>
      <c r="G9" s="54" t="s">
        <v>201</v>
      </c>
      <c r="H9" s="55" t="s">
        <v>201</v>
      </c>
      <c r="J9" s="65"/>
    </row>
    <row r="10" spans="1:11">
      <c r="A10" s="79"/>
      <c r="B10" s="43" t="s">
        <v>43</v>
      </c>
      <c r="C10" s="47"/>
      <c r="D10" s="47"/>
      <c r="E10" s="47"/>
      <c r="F10" s="47"/>
      <c r="G10" s="64" t="s">
        <v>201</v>
      </c>
      <c r="H10" s="48"/>
    </row>
    <row r="11" spans="1:11">
      <c r="A11" s="79"/>
      <c r="B11" s="61" t="s">
        <v>206</v>
      </c>
      <c r="C11" s="72"/>
      <c r="D11" s="72"/>
      <c r="E11" s="72"/>
      <c r="F11" s="72"/>
      <c r="G11" s="72"/>
      <c r="H11" s="49"/>
      <c r="J11" t="s">
        <v>207</v>
      </c>
    </row>
    <row r="12" spans="1:11" s="151" customFormat="1" ht="15.75">
      <c r="A12" s="147"/>
      <c r="B12" s="153" t="s">
        <v>208</v>
      </c>
      <c r="C12" s="154"/>
      <c r="D12" s="154"/>
      <c r="E12" s="154"/>
      <c r="F12" s="154"/>
      <c r="G12" s="154"/>
      <c r="H12" s="155"/>
    </row>
    <row r="13" spans="1:11" ht="17.100000000000001" thickBot="1">
      <c r="A13" s="79"/>
      <c r="B13" s="62" t="s">
        <v>209</v>
      </c>
      <c r="C13" s="50"/>
      <c r="D13" s="50"/>
      <c r="E13" s="50"/>
      <c r="F13" s="50"/>
      <c r="G13" s="50"/>
      <c r="H13" s="51"/>
    </row>
    <row r="14" spans="1:11">
      <c r="A14" s="79"/>
      <c r="B14" s="43" t="s">
        <v>55</v>
      </c>
      <c r="C14" s="47"/>
      <c r="D14" s="47"/>
      <c r="E14" s="47"/>
      <c r="F14" s="47"/>
      <c r="G14" s="47"/>
      <c r="H14" s="44" t="s">
        <v>201</v>
      </c>
      <c r="J14" t="s">
        <v>210</v>
      </c>
    </row>
    <row r="15" spans="1:11">
      <c r="A15" s="79"/>
      <c r="B15" s="61" t="s">
        <v>56</v>
      </c>
      <c r="C15" s="72"/>
      <c r="D15" s="72"/>
      <c r="E15" s="72"/>
      <c r="F15" s="72"/>
      <c r="G15" s="72"/>
      <c r="H15" s="49"/>
    </row>
    <row r="16" spans="1:11">
      <c r="A16" s="79"/>
      <c r="B16" s="61" t="s">
        <v>57</v>
      </c>
      <c r="C16" s="72"/>
      <c r="D16" s="72"/>
      <c r="E16" s="72"/>
      <c r="F16" s="72"/>
      <c r="G16" s="72"/>
      <c r="H16" s="49"/>
    </row>
    <row r="17" spans="1:10">
      <c r="A17" s="79"/>
      <c r="B17" s="61" t="s">
        <v>58</v>
      </c>
      <c r="C17" s="72"/>
      <c r="D17" s="72"/>
      <c r="E17" s="72"/>
      <c r="F17" s="72"/>
      <c r="G17" s="72"/>
      <c r="H17" s="49"/>
    </row>
    <row r="18" spans="1:10" s="151" customFormat="1" ht="15.75">
      <c r="A18" s="147"/>
      <c r="B18" s="153" t="s">
        <v>59</v>
      </c>
      <c r="C18" s="154"/>
      <c r="D18" s="154"/>
      <c r="E18" s="154"/>
      <c r="F18" s="154"/>
      <c r="G18" s="154"/>
      <c r="H18" s="155"/>
      <c r="J18" s="156" t="s">
        <v>211</v>
      </c>
    </row>
    <row r="19" spans="1:10" ht="17.100000000000001" thickBot="1">
      <c r="A19" s="79"/>
      <c r="B19" s="62" t="s">
        <v>60</v>
      </c>
      <c r="C19" s="50"/>
      <c r="D19" s="50"/>
      <c r="E19" s="50"/>
      <c r="F19" s="50"/>
      <c r="G19" s="50"/>
      <c r="H19" s="51"/>
      <c r="J19" s="67"/>
    </row>
    <row r="20" spans="1:10">
      <c r="A20" s="79"/>
      <c r="B20" s="43" t="s">
        <v>61</v>
      </c>
      <c r="C20" s="47"/>
      <c r="D20" s="47"/>
      <c r="E20" s="47"/>
      <c r="F20" s="47"/>
      <c r="G20" s="47"/>
      <c r="H20" s="44" t="s">
        <v>201</v>
      </c>
    </row>
    <row r="21" spans="1:10">
      <c r="A21" s="79"/>
      <c r="B21" s="61" t="s">
        <v>62</v>
      </c>
      <c r="C21" s="72"/>
      <c r="D21" s="72"/>
      <c r="E21" s="72"/>
      <c r="F21" s="72"/>
      <c r="G21" s="72"/>
      <c r="H21" s="49"/>
    </row>
    <row r="22" spans="1:10">
      <c r="A22" s="79"/>
      <c r="B22" s="61" t="s">
        <v>63</v>
      </c>
      <c r="C22" s="72"/>
      <c r="D22" s="72"/>
      <c r="E22" s="72"/>
      <c r="F22" s="72"/>
      <c r="G22" s="72"/>
      <c r="H22" s="49"/>
      <c r="J22" t="s">
        <v>212</v>
      </c>
    </row>
    <row r="23" spans="1:10">
      <c r="A23" s="79"/>
      <c r="B23" s="61" t="s">
        <v>213</v>
      </c>
      <c r="C23" s="72"/>
      <c r="D23" s="72"/>
      <c r="E23" s="72"/>
      <c r="F23" s="72"/>
      <c r="G23" s="72"/>
      <c r="H23" s="49"/>
    </row>
    <row r="24" spans="1:10" ht="17.100000000000001" thickBot="1">
      <c r="A24" s="79"/>
      <c r="B24" s="62" t="s">
        <v>68</v>
      </c>
      <c r="C24" s="50"/>
      <c r="D24" s="50"/>
      <c r="E24" s="50"/>
      <c r="F24" s="50"/>
      <c r="G24" s="50"/>
      <c r="H24" s="51"/>
      <c r="J24" t="s">
        <v>214</v>
      </c>
    </row>
    <row r="25" spans="1:10" s="151" customFormat="1" ht="15.75">
      <c r="A25" s="147"/>
      <c r="B25" s="148" t="s">
        <v>69</v>
      </c>
      <c r="C25" s="149"/>
      <c r="D25" s="149"/>
      <c r="E25" s="149"/>
      <c r="F25" s="149"/>
      <c r="G25" s="149"/>
      <c r="H25" s="150" t="s">
        <v>201</v>
      </c>
      <c r="J25" s="152" t="s">
        <v>215</v>
      </c>
    </row>
    <row r="26" spans="1:10" s="151" customFormat="1" ht="15.75">
      <c r="A26" s="147"/>
      <c r="B26" s="153" t="s">
        <v>70</v>
      </c>
      <c r="C26" s="154"/>
      <c r="D26" s="154"/>
      <c r="E26" s="154"/>
      <c r="F26" s="154"/>
      <c r="G26" s="154"/>
      <c r="H26" s="155"/>
      <c r="J26" s="152"/>
    </row>
    <row r="27" spans="1:10" s="151" customFormat="1" ht="15.75">
      <c r="A27" s="147"/>
      <c r="B27" s="153" t="s">
        <v>72</v>
      </c>
      <c r="C27" s="154"/>
      <c r="D27" s="154"/>
      <c r="E27" s="154"/>
      <c r="F27" s="154"/>
      <c r="G27" s="154"/>
      <c r="H27" s="155"/>
      <c r="J27" s="152"/>
    </row>
    <row r="28" spans="1:10" s="151" customFormat="1" ht="15.75">
      <c r="A28" s="147"/>
      <c r="B28" s="153" t="s">
        <v>73</v>
      </c>
      <c r="C28" s="154"/>
      <c r="D28" s="154"/>
      <c r="E28" s="154"/>
      <c r="F28" s="154"/>
      <c r="G28" s="154"/>
      <c r="H28" s="155"/>
      <c r="J28" s="152"/>
    </row>
    <row r="29" spans="1:10" s="151" customFormat="1" ht="15.75">
      <c r="A29" s="147"/>
      <c r="B29" s="153" t="s">
        <v>74</v>
      </c>
      <c r="C29" s="154"/>
      <c r="D29" s="154"/>
      <c r="E29" s="154"/>
      <c r="F29" s="154"/>
      <c r="G29" s="154"/>
      <c r="H29" s="155"/>
      <c r="J29" s="152"/>
    </row>
    <row r="30" spans="1:10">
      <c r="A30" s="79"/>
      <c r="B30" s="43" t="s">
        <v>76</v>
      </c>
      <c r="C30" s="70"/>
      <c r="D30" s="70"/>
      <c r="E30" s="47"/>
      <c r="F30" s="64" t="s">
        <v>201</v>
      </c>
      <c r="G30" s="64" t="s">
        <v>201</v>
      </c>
      <c r="H30" s="44" t="s">
        <v>201</v>
      </c>
      <c r="J30" s="39"/>
    </row>
    <row r="31" spans="1:10">
      <c r="A31" s="79"/>
      <c r="B31" s="61" t="s">
        <v>216</v>
      </c>
      <c r="C31" s="71"/>
      <c r="D31" s="71"/>
      <c r="E31" s="72"/>
      <c r="F31" s="73"/>
      <c r="G31" s="73"/>
      <c r="H31" s="45"/>
      <c r="J31" s="39"/>
    </row>
    <row r="32" spans="1:10" ht="17.100000000000001" thickBot="1">
      <c r="A32" s="79"/>
      <c r="B32" s="62" t="s">
        <v>217</v>
      </c>
      <c r="C32" s="68"/>
      <c r="D32" s="68"/>
      <c r="E32" s="50"/>
      <c r="F32" s="69"/>
      <c r="G32" s="69"/>
      <c r="H32" s="46"/>
      <c r="J32" s="39" t="s">
        <v>218</v>
      </c>
    </row>
    <row r="33" spans="1:10">
      <c r="A33" s="79"/>
      <c r="B33" s="43" t="s">
        <v>84</v>
      </c>
      <c r="C33" s="54"/>
      <c r="D33" s="54"/>
      <c r="E33" s="47"/>
      <c r="F33" s="64" t="s">
        <v>201</v>
      </c>
      <c r="G33" s="64" t="s">
        <v>201</v>
      </c>
      <c r="H33" s="44" t="s">
        <v>201</v>
      </c>
      <c r="J33" s="39"/>
    </row>
    <row r="34" spans="1:10">
      <c r="A34" s="79"/>
      <c r="B34" s="61" t="s">
        <v>219</v>
      </c>
      <c r="C34" s="71"/>
      <c r="D34" s="71"/>
      <c r="E34" s="72"/>
      <c r="F34" s="73"/>
      <c r="G34" s="73"/>
      <c r="H34" s="45"/>
      <c r="J34" s="39"/>
    </row>
    <row r="35" spans="1:10">
      <c r="A35" s="79"/>
      <c r="B35" s="61" t="s">
        <v>220</v>
      </c>
      <c r="C35" s="71"/>
      <c r="D35" s="71"/>
      <c r="E35" s="72"/>
      <c r="F35" s="73"/>
      <c r="G35" s="73"/>
      <c r="H35" s="45"/>
      <c r="J35" s="39"/>
    </row>
    <row r="36" spans="1:10" ht="17.100000000000001" thickBot="1">
      <c r="A36" s="80"/>
      <c r="B36" s="62" t="s">
        <v>221</v>
      </c>
      <c r="C36" s="50"/>
      <c r="D36" s="50"/>
      <c r="E36" s="50"/>
      <c r="F36" s="69"/>
      <c r="G36" s="69"/>
      <c r="H36" s="46"/>
    </row>
    <row r="37" spans="1:10">
      <c r="A37" s="91" t="s">
        <v>94</v>
      </c>
      <c r="B37" s="82" t="s">
        <v>97</v>
      </c>
      <c r="C37" s="83"/>
      <c r="D37" s="83"/>
      <c r="E37" s="82" t="s">
        <v>201</v>
      </c>
      <c r="F37" s="83" t="s">
        <v>201</v>
      </c>
      <c r="G37" s="83"/>
      <c r="H37" s="84"/>
      <c r="J37" t="s">
        <v>222</v>
      </c>
    </row>
    <row r="38" spans="1:10">
      <c r="A38" s="92"/>
      <c r="B38" s="85" t="s">
        <v>223</v>
      </c>
      <c r="C38" s="86"/>
      <c r="D38" s="86"/>
      <c r="E38" s="85" t="s">
        <v>201</v>
      </c>
      <c r="F38" s="86" t="s">
        <v>201</v>
      </c>
      <c r="G38" s="86"/>
      <c r="H38" s="87"/>
      <c r="J38" t="s">
        <v>224</v>
      </c>
    </row>
    <row r="39" spans="1:10">
      <c r="A39" s="92"/>
      <c r="B39" s="85" t="s">
        <v>225</v>
      </c>
      <c r="C39" s="86"/>
      <c r="D39" s="86"/>
      <c r="E39" s="85" t="s">
        <v>201</v>
      </c>
      <c r="F39" s="86" t="s">
        <v>201</v>
      </c>
      <c r="G39" s="86"/>
      <c r="H39" s="87"/>
      <c r="J39" s="110" t="s">
        <v>226</v>
      </c>
    </row>
    <row r="40" spans="1:10" ht="17.100000000000001" thickBot="1">
      <c r="A40" s="93"/>
      <c r="B40" s="88" t="s">
        <v>227</v>
      </c>
      <c r="C40" s="89"/>
      <c r="D40" s="89"/>
      <c r="E40" s="88" t="s">
        <v>201</v>
      </c>
      <c r="F40" s="89" t="s">
        <v>201</v>
      </c>
      <c r="G40" s="89"/>
      <c r="H40" s="90"/>
      <c r="J40" t="s">
        <v>228</v>
      </c>
    </row>
    <row r="41" spans="1:10" ht="15.75">
      <c r="A41" s="92"/>
      <c r="B41" s="85" t="s">
        <v>229</v>
      </c>
      <c r="C41" s="86"/>
      <c r="D41" s="86"/>
      <c r="E41" s="85" t="s">
        <v>201</v>
      </c>
      <c r="F41" s="86" t="s">
        <v>201</v>
      </c>
      <c r="G41" s="86"/>
      <c r="H41" s="86"/>
    </row>
    <row r="42" spans="1:10" ht="17.100000000000001">
      <c r="A42" s="107" t="s">
        <v>152</v>
      </c>
      <c r="B42" s="40" t="s">
        <v>153</v>
      </c>
      <c r="C42" s="41"/>
      <c r="D42" s="105" t="s">
        <v>201</v>
      </c>
      <c r="E42" s="41"/>
      <c r="F42" s="41"/>
      <c r="G42" s="41"/>
      <c r="H42" s="41"/>
    </row>
    <row r="43" spans="1:10">
      <c r="A43" s="108"/>
      <c r="B43" s="40" t="s">
        <v>230</v>
      </c>
      <c r="C43" s="40" t="s">
        <v>201</v>
      </c>
      <c r="D43" s="41"/>
      <c r="E43" s="41"/>
      <c r="F43" s="41"/>
      <c r="G43" s="41"/>
      <c r="H43" s="41"/>
    </row>
    <row r="44" spans="1:10">
      <c r="A44" s="108"/>
      <c r="B44" s="40" t="s">
        <v>231</v>
      </c>
      <c r="C44" s="40" t="s">
        <v>201</v>
      </c>
      <c r="D44" s="41"/>
      <c r="E44" s="41"/>
      <c r="F44" s="41"/>
      <c r="G44" s="41"/>
      <c r="H44" s="41"/>
    </row>
    <row r="45" spans="1:10">
      <c r="A45" s="108"/>
      <c r="B45" s="40" t="s">
        <v>232</v>
      </c>
      <c r="C45" s="40" t="s">
        <v>201</v>
      </c>
      <c r="D45" s="41"/>
      <c r="E45" s="41"/>
      <c r="F45" s="41"/>
      <c r="G45" s="41"/>
      <c r="H45" s="41"/>
    </row>
    <row r="46" spans="1:10">
      <c r="A46" s="108"/>
      <c r="B46" s="106" t="s">
        <v>233</v>
      </c>
      <c r="C46" s="40"/>
      <c r="D46" s="41"/>
      <c r="E46" s="41"/>
      <c r="F46" s="41"/>
      <c r="G46" s="41"/>
      <c r="H46" s="41"/>
    </row>
    <row r="47" spans="1:10">
      <c r="A47" s="108"/>
      <c r="B47" s="106" t="s">
        <v>234</v>
      </c>
      <c r="C47" s="40"/>
      <c r="D47" s="41"/>
      <c r="E47" s="41"/>
      <c r="F47" s="41"/>
      <c r="G47" s="41"/>
      <c r="H47" s="41"/>
    </row>
    <row r="48" spans="1:10">
      <c r="A48" s="108"/>
      <c r="B48" s="106" t="s">
        <v>235</v>
      </c>
      <c r="C48" s="40"/>
      <c r="D48" s="41"/>
      <c r="E48" s="41"/>
      <c r="F48" s="41"/>
      <c r="G48" s="41"/>
      <c r="H48" s="41"/>
    </row>
    <row r="49" spans="1:10">
      <c r="A49" s="108"/>
      <c r="B49" s="40" t="s">
        <v>236</v>
      </c>
      <c r="C49" s="40" t="s">
        <v>201</v>
      </c>
      <c r="D49" s="41"/>
      <c r="E49" s="41"/>
      <c r="F49" s="41"/>
      <c r="G49" s="41"/>
      <c r="H49" s="41"/>
      <c r="J49" s="110" t="s">
        <v>237</v>
      </c>
    </row>
    <row r="50" spans="1:10" ht="17.100000000000001" thickBot="1">
      <c r="A50" s="109"/>
      <c r="B50" s="40" t="s">
        <v>238</v>
      </c>
      <c r="C50" s="40" t="s">
        <v>201</v>
      </c>
      <c r="D50" s="41"/>
      <c r="E50" s="41"/>
      <c r="F50" s="41"/>
      <c r="G50" s="41"/>
      <c r="H50" s="41"/>
      <c r="J50" t="s">
        <v>239</v>
      </c>
    </row>
    <row r="51" spans="1:10">
      <c r="A51" s="102" t="s">
        <v>240</v>
      </c>
      <c r="B51" s="101" t="s">
        <v>43</v>
      </c>
      <c r="C51" s="94"/>
      <c r="D51" s="94" t="s">
        <v>201</v>
      </c>
      <c r="E51" s="94"/>
      <c r="F51" s="94"/>
      <c r="G51" s="94" t="s">
        <v>201</v>
      </c>
      <c r="H51" s="95"/>
    </row>
    <row r="52" spans="1:10">
      <c r="A52" s="103"/>
      <c r="B52" s="81" t="s">
        <v>241</v>
      </c>
      <c r="C52" s="96"/>
      <c r="D52" s="96" t="s">
        <v>201</v>
      </c>
      <c r="E52" s="96" t="s">
        <v>201</v>
      </c>
      <c r="F52" s="96"/>
      <c r="G52" s="96"/>
      <c r="H52" s="97"/>
      <c r="J52" t="s">
        <v>242</v>
      </c>
    </row>
    <row r="53" spans="1:10" ht="17.100000000000001" thickBot="1">
      <c r="A53" s="104"/>
      <c r="B53" s="98" t="s">
        <v>243</v>
      </c>
      <c r="C53" s="99"/>
      <c r="D53" s="99"/>
      <c r="E53" s="99" t="s">
        <v>201</v>
      </c>
      <c r="F53" s="99"/>
      <c r="G53" s="99"/>
      <c r="H53" s="100" t="s">
        <v>201</v>
      </c>
    </row>
    <row r="60" spans="1:10">
      <c r="B60" s="17"/>
    </row>
    <row r="61" spans="1:10">
      <c r="B61" s="11"/>
    </row>
    <row r="62" spans="1:10">
      <c r="B62" s="11"/>
    </row>
    <row r="63" spans="1:10">
      <c r="B63" s="11"/>
    </row>
    <row r="64" spans="1:10" ht="17.100000000000001" thickBot="1">
      <c r="B64" s="19"/>
    </row>
    <row r="76" spans="1:1">
      <c r="A76" s="17"/>
    </row>
    <row r="77" spans="1:1">
      <c r="A77" s="11"/>
    </row>
    <row r="78" spans="1:1">
      <c r="A78" s="11"/>
    </row>
    <row r="79" spans="1:1">
      <c r="A79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de Nooy</dc:creator>
  <cp:keywords/>
  <dc:description/>
  <cp:lastModifiedBy>Guest User</cp:lastModifiedBy>
  <cp:revision/>
  <dcterms:created xsi:type="dcterms:W3CDTF">2026-01-06T13:30:32Z</dcterms:created>
  <dcterms:modified xsi:type="dcterms:W3CDTF">2026-01-09T04:19:35Z</dcterms:modified>
  <cp:category/>
  <cp:contentStatus/>
</cp:coreProperties>
</file>