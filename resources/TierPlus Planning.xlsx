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09" documentId="8_{E97B7BBA-A1CF-CA4D-89B6-D5BE4B7D4A10}" xr6:coauthVersionLast="47" xr6:coauthVersionMax="47" xr10:uidLastSave="{66925795-9227-CF46-89C9-CE763E0B4A2F}"/>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11" l="1"/>
  <c r="F29" i="11" s="1"/>
  <c r="F45" i="11"/>
  <c r="E46" i="11" s="1"/>
  <c r="F46" i="11" s="1"/>
  <c r="E47" i="11" s="1"/>
  <c r="F44" i="11"/>
  <c r="F26" i="11"/>
  <c r="E27" i="11" s="1"/>
  <c r="H37" i="11"/>
  <c r="H15" i="11"/>
  <c r="H8" i="11"/>
  <c r="H7" i="11"/>
  <c r="F43" i="11" l="1"/>
  <c r="F47" i="11"/>
  <c r="E48" i="11" s="1"/>
  <c r="F48" i="11" s="1"/>
  <c r="E28" i="11"/>
  <c r="F28" i="11" s="1"/>
  <c r="E30" i="11" s="1"/>
  <c r="F30" i="11" s="1"/>
  <c r="E31" i="11" s="1"/>
  <c r="F27" i="11"/>
  <c r="Q1" i="11"/>
  <c r="E38" i="11" l="1"/>
  <c r="E18" i="11"/>
  <c r="F38" i="11"/>
  <c r="E40" i="11" s="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F14" i="11"/>
  <c r="H35" i="11"/>
  <c r="H30" i="11"/>
  <c r="H18" i="11"/>
  <c r="H17" i="11"/>
  <c r="H9" i="11"/>
  <c r="H22" i="11"/>
  <c r="H24" i="11"/>
  <c r="J5" i="11"/>
  <c r="K5" i="11" s="1"/>
  <c r="L5" i="11" s="1"/>
  <c r="M5" i="11" s="1"/>
  <c r="N5" i="11" s="1"/>
  <c r="O5" i="11" s="1"/>
  <c r="P5" i="11" s="1"/>
  <c r="I4" i="11"/>
  <c r="H41" i="11" l="1"/>
  <c r="H48" i="1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<sst xmlns="http://schemas.openxmlformats.org/spreadsheetml/2006/main" count="69" uniqueCount="65">
  <si>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</si>
  <si>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</si>
  <si>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</si>
  <si>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</si>
  <si>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</si>
  <si>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</si>
  <si>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</si>
  <si>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</si>
  <si>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</si>
  <si>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</si>
  <si>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</si>
  <si>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</si>
  <si>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</si>
  <si>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</si>
  <si>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</si>
  <si>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</si>
  <si>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</si>
  <si>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</si>
  <si>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</si>
  <si>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</si>
  <si>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</si>
  <si>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</si>
  <si>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</si>
  <si>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</si>
  <si>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</si>
  <si>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</si>
  <si>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</si>
  <si>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</si>
  <si>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</si>
  <si>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</si>
  <si>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</si>
  <si>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</si>
  <si>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</si>
  <si>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</si>
  <si>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</si>
  <si>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</si>
  <si>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</si>
  <si>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</si>
  <si>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</si>
  <si>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</si>
  <si>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</si>
  <si>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</si>
  <si>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</si>
  <si>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</si>
  <si>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</si>
  <si>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</si>
  <si>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</si>
  <si>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</si>
  <si>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</si>
  <si>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</si>
  <si>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</si>
  <si>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</si>
  <si>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</si>
  <si>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</si>
  <si>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</si>
  <si>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</si>
  <si>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Implement: Limits on combinations</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</si>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</sst>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8">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2" fillId="0" borderId="0" xfId="1" applyAlignment="1" applyProtection="1">
      <alignment horizontal="left" vertical="top" inden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val="6"/>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8" zoomScale="75" zoomScaleNormal="100" zoomScalePageLayoutView="70" workbookViewId="0">
      <selection activeCell="BP44" sqref="BP44"/>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6640625" customWidth="1"/>
    <col min="8" max="8" width="6" hidden="1" customWidth="1"/>
    <col min="9" max="92" width="2.6640625" customWidth="1"/>
  </cols>
  <sheetData>
    <row r="1" spans="1:92" ht="90" customHeight="1" x14ac:dyDescent="0.85">
      <c r="A1" s="81"/>
      <c r="B1" s="73" t="s">
        <v>25</v>
      </c>
      <c r="C1" s="15"/>
      <c r="D1" s="16"/>
      <c r="E1" s="82"/>
      <c r="F1" s="83"/>
      <c r="H1" s="1"/>
      <c r="I1" s="116" t="s">
        <v>0</v>
      </c>
      <c r="J1" s="117"/>
      <c r="K1" s="117"/>
      <c r="L1" s="117"/>
      <c r="M1" s="117"/>
      <c r="N1" s="117"/>
      <c r="O1" s="117"/>
      <c r="P1" s="18"/>
      <c r="Q1" s="114">
        <f ca="1">TODAY()</f>
        <v>46064</v>
      </c>
      <c r="R1" s="115"/>
      <c r="S1" s="115"/>
      <c r="T1" s="115"/>
      <c r="U1" s="115"/>
      <c r="V1" s="115"/>
      <c r="W1" s="115"/>
      <c r="X1" s="115"/>
      <c r="Y1" s="115"/>
      <c r="Z1" s="115"/>
    </row>
    <row r="2" spans="1:92" ht="30" customHeight="1" x14ac:dyDescent="0.4">
      <c r="B2" s="71"/>
      <c r="C2" s="72" t="s">
        <v>1</v>
      </c>
      <c r="D2" s="17"/>
      <c r="E2" s="84"/>
      <c r="F2" s="85"/>
      <c r="I2" s="116" t="s">
        <v>2</v>
      </c>
      <c r="J2" s="117"/>
      <c r="K2" s="117"/>
      <c r="L2" s="117"/>
      <c r="M2" s="117"/>
      <c r="N2" s="117"/>
      <c r="O2" s="117"/>
      <c r="P2" s="18"/>
      <c r="Q2" s="112">
        <v>6</v>
      </c>
      <c r="R2" s="113"/>
      <c r="S2" s="113"/>
      <c r="T2" s="113"/>
      <c r="U2" s="113"/>
      <c r="V2" s="113"/>
      <c r="W2" s="113"/>
      <c r="X2" s="113"/>
      <c r="Y2" s="113"/>
      <c r="Z2" s="113"/>
      <c r="AP2" t="s">
        <v>63</v>
      </c>
    </row>
    <row r="3" spans="1:92" s="20" customFormat="1" ht="30" customHeight="1" x14ac:dyDescent="0.15">
      <c r="A3" s="12"/>
      <c r="B3" s="19"/>
      <c r="D3" s="21"/>
      <c r="E3" s="86"/>
      <c r="F3" s="87"/>
    </row>
    <row r="4" spans="1:92" s="20" customFormat="1" ht="30" customHeight="1" x14ac:dyDescent="0.15">
      <c r="A4" s="81"/>
      <c r="B4" s="127" t="s">
        <v>4</v>
      </c>
      <c r="E4" s="88"/>
      <c r="F4" s="87"/>
      <c r="I4" s="118">
        <f ca="1">I5</f>
        <v>46097</v>
      </c>
      <c r="J4" s="110"/>
      <c r="K4" s="110"/>
      <c r="L4" s="110"/>
      <c r="M4" s="110"/>
      <c r="N4" s="110"/>
      <c r="O4" s="110"/>
      <c r="P4" s="110">
        <f ca="1">P5</f>
        <v>46104</v>
      </c>
      <c r="Q4" s="110"/>
      <c r="R4" s="110"/>
      <c r="S4" s="110"/>
      <c r="T4" s="110"/>
      <c r="U4" s="110"/>
      <c r="V4" s="110"/>
      <c r="W4" s="110">
        <f ca="1">W5</f>
        <v>46111</v>
      </c>
      <c r="X4" s="110"/>
      <c r="Y4" s="110"/>
      <c r="Z4" s="110"/>
      <c r="AA4" s="110"/>
      <c r="AB4" s="110"/>
      <c r="AC4" s="110"/>
      <c r="AD4" s="110">
        <f ca="1">AD5</f>
        <v>46118</v>
      </c>
      <c r="AE4" s="110"/>
      <c r="AF4" s="110"/>
      <c r="AG4" s="110"/>
      <c r="AH4" s="110"/>
      <c r="AI4" s="110"/>
      <c r="AJ4" s="110"/>
      <c r="AK4" s="110">
        <f ca="1">AK5</f>
        <v>46125</v>
      </c>
      <c r="AL4" s="110"/>
      <c r="AM4" s="110"/>
      <c r="AN4" s="110"/>
      <c r="AO4" s="110"/>
      <c r="AP4" s="110"/>
      <c r="AQ4" s="110"/>
      <c r="AR4" s="110">
        <f ca="1">AR5</f>
        <v>46132</v>
      </c>
      <c r="AS4" s="110"/>
      <c r="AT4" s="110"/>
      <c r="AU4" s="110"/>
      <c r="AV4" s="110"/>
      <c r="AW4" s="110"/>
      <c r="AX4" s="110"/>
      <c r="AY4" s="110">
        <f ca="1">AY5</f>
        <v>46139</v>
      </c>
      <c r="AZ4" s="110"/>
      <c r="BA4" s="110"/>
      <c r="BB4" s="110"/>
      <c r="BC4" s="110"/>
      <c r="BD4" s="110"/>
      <c r="BE4" s="110"/>
      <c r="BF4" s="110">
        <f ca="1">BF5</f>
        <v>46146</v>
      </c>
      <c r="BG4" s="110"/>
      <c r="BH4" s="110"/>
      <c r="BI4" s="110"/>
      <c r="BJ4" s="110"/>
      <c r="BK4" s="110"/>
      <c r="BL4" s="111"/>
      <c r="BM4" s="110">
        <f ca="1">BM5</f>
        <v>46153</v>
      </c>
      <c r="BN4" s="110"/>
      <c r="BO4" s="110"/>
      <c r="BP4" s="110"/>
      <c r="BQ4" s="110"/>
      <c r="BR4" s="110"/>
      <c r="BS4" s="111"/>
      <c r="BT4" s="110">
        <f ca="1">BT5</f>
        <v>46160</v>
      </c>
      <c r="BU4" s="110"/>
      <c r="BV4" s="110"/>
      <c r="BW4" s="110"/>
      <c r="BX4" s="110"/>
      <c r="BY4" s="110"/>
      <c r="BZ4" s="111"/>
      <c r="CA4" s="110">
        <f ca="1">CA5</f>
        <v>46167</v>
      </c>
      <c r="CB4" s="110"/>
      <c r="CC4" s="110"/>
      <c r="CD4" s="110"/>
      <c r="CE4" s="110"/>
      <c r="CF4" s="110"/>
      <c r="CG4" s="111"/>
      <c r="CH4" s="110">
        <f ca="1">CH5</f>
        <v>46174</v>
      </c>
      <c r="CI4" s="110"/>
      <c r="CJ4" s="110"/>
      <c r="CK4" s="110"/>
      <c r="CL4" s="110"/>
      <c r="CM4" s="110"/>
      <c r="CN4" s="111"/>
    </row>
    <row r="5" spans="1:92" s="20" customFormat="1" ht="15" customHeight="1" x14ac:dyDescent="0.15">
      <c r="A5" s="119"/>
      <c r="B5" s="120" t="s">
        <v>5</v>
      </c>
      <c r="C5" s="122" t="s">
        <v>6</v>
      </c>
      <c r="D5" s="124" t="s">
        <v>7</v>
      </c>
      <c r="E5" s="125" t="s">
        <v>8</v>
      </c>
      <c r="F5" s="125" t="s">
        <v>9</v>
      </c>
      <c r="I5" s="22">
        <f ca="1">Project_Start-WEEKDAY(Project_Start,1)+2+7*(Display_Week-1)</f>
        <v>46097</v>
      </c>
      <c r="J5" s="22">
        <f ca="1">I5+1</f>
        <v>46098</v>
      </c>
      <c r="K5" s="22">
        <f t="shared" ref="K5:AX5" ca="1" si="0">J5+1</f>
        <v>46099</v>
      </c>
      <c r="L5" s="22">
        <f t="shared" ca="1" si="0"/>
        <v>46100</v>
      </c>
      <c r="M5" s="22">
        <f t="shared" ca="1" si="0"/>
        <v>46101</v>
      </c>
      <c r="N5" s="22">
        <f t="shared" ca="1" si="0"/>
        <v>46102</v>
      </c>
      <c r="O5" s="23">
        <f t="shared" ca="1" si="0"/>
        <v>46103</v>
      </c>
      <c r="P5" s="24">
        <f ca="1">O5+1</f>
        <v>46104</v>
      </c>
      <c r="Q5" s="22">
        <f ca="1">P5+1</f>
        <v>46105</v>
      </c>
      <c r="R5" s="22">
        <f t="shared" ca="1" si="0"/>
        <v>46106</v>
      </c>
      <c r="S5" s="22">
        <f t="shared" ca="1" si="0"/>
        <v>46107</v>
      </c>
      <c r="T5" s="22">
        <f t="shared" ca="1" si="0"/>
        <v>46108</v>
      </c>
      <c r="U5" s="22">
        <f t="shared" ca="1" si="0"/>
        <v>46109</v>
      </c>
      <c r="V5" s="23">
        <f t="shared" ca="1" si="0"/>
        <v>46110</v>
      </c>
      <c r="W5" s="24">
        <f ca="1">V5+1</f>
        <v>46111</v>
      </c>
      <c r="X5" s="22">
        <f ca="1">W5+1</f>
        <v>46112</v>
      </c>
      <c r="Y5" s="22">
        <f t="shared" ca="1" si="0"/>
        <v>46113</v>
      </c>
      <c r="Z5" s="22">
        <f t="shared" ca="1" si="0"/>
        <v>46114</v>
      </c>
      <c r="AA5" s="22">
        <f t="shared" ca="1" si="0"/>
        <v>46115</v>
      </c>
      <c r="AB5" s="22">
        <f t="shared" ca="1" si="0"/>
        <v>46116</v>
      </c>
      <c r="AC5" s="23">
        <f t="shared" ca="1" si="0"/>
        <v>46117</v>
      </c>
      <c r="AD5" s="24">
        <f ca="1">AC5+1</f>
        <v>46118</v>
      </c>
      <c r="AE5" s="22">
        <f ca="1">AD5+1</f>
        <v>46119</v>
      </c>
      <c r="AF5" s="22">
        <f t="shared" ca="1" si="0"/>
        <v>46120</v>
      </c>
      <c r="AG5" s="22">
        <f t="shared" ca="1" si="0"/>
        <v>46121</v>
      </c>
      <c r="AH5" s="22">
        <f t="shared" ca="1" si="0"/>
        <v>46122</v>
      </c>
      <c r="AI5" s="22">
        <f t="shared" ca="1" si="0"/>
        <v>46123</v>
      </c>
      <c r="AJ5" s="23">
        <f t="shared" ca="1" si="0"/>
        <v>46124</v>
      </c>
      <c r="AK5" s="24">
        <f ca="1">AJ5+1</f>
        <v>46125</v>
      </c>
      <c r="AL5" s="22">
        <f ca="1">AK5+1</f>
        <v>46126</v>
      </c>
      <c r="AM5" s="22">
        <f t="shared" ca="1" si="0"/>
        <v>46127</v>
      </c>
      <c r="AN5" s="22">
        <f t="shared" ca="1" si="0"/>
        <v>46128</v>
      </c>
      <c r="AO5" s="22">
        <f t="shared" ca="1" si="0"/>
        <v>46129</v>
      </c>
      <c r="AP5" s="22">
        <f t="shared" ca="1" si="0"/>
        <v>46130</v>
      </c>
      <c r="AQ5" s="23">
        <f t="shared" ca="1" si="0"/>
        <v>46131</v>
      </c>
      <c r="AR5" s="24">
        <f ca="1">AQ5+1</f>
        <v>46132</v>
      </c>
      <c r="AS5" s="22">
        <f ca="1">AR5+1</f>
        <v>46133</v>
      </c>
      <c r="AT5" s="22">
        <f t="shared" ca="1" si="0"/>
        <v>46134</v>
      </c>
      <c r="AU5" s="22">
        <f t="shared" ca="1" si="0"/>
        <v>46135</v>
      </c>
      <c r="AV5" s="22">
        <f t="shared" ca="1" si="0"/>
        <v>46136</v>
      </c>
      <c r="AW5" s="22">
        <f t="shared" ca="1" si="0"/>
        <v>46137</v>
      </c>
      <c r="AX5" s="23">
        <f t="shared" ca="1" si="0"/>
        <v>46138</v>
      </c>
      <c r="AY5" s="24">
        <f ca="1">AX5+1</f>
        <v>46139</v>
      </c>
      <c r="AZ5" s="22">
        <f ca="1">AY5+1</f>
        <v>46140</v>
      </c>
      <c r="BA5" s="22">
        <f t="shared" ref="BA5:BE5" ca="1" si="1">AZ5+1</f>
        <v>46141</v>
      </c>
      <c r="BB5" s="22">
        <f t="shared" ca="1" si="1"/>
        <v>46142</v>
      </c>
      <c r="BC5" s="22">
        <f t="shared" ca="1" si="1"/>
        <v>46143</v>
      </c>
      <c r="BD5" s="22">
        <f t="shared" ca="1" si="1"/>
        <v>46144</v>
      </c>
      <c r="BE5" s="23">
        <f t="shared" ca="1" si="1"/>
        <v>46145</v>
      </c>
      <c r="BF5" s="24">
        <f ca="1">BE5+1</f>
        <v>46146</v>
      </c>
      <c r="BG5" s="22">
        <f ca="1">BF5+1</f>
        <v>46147</v>
      </c>
      <c r="BH5" s="22">
        <f t="shared" ref="BH5:BL5" ca="1" si="2">BG5+1</f>
        <v>46148</v>
      </c>
      <c r="BI5" s="22">
        <f t="shared" ca="1" si="2"/>
        <v>46149</v>
      </c>
      <c r="BJ5" s="22">
        <f t="shared" ca="1" si="2"/>
        <v>46150</v>
      </c>
      <c r="BK5" s="22">
        <f t="shared" ca="1" si="2"/>
        <v>46151</v>
      </c>
      <c r="BL5" s="22">
        <f t="shared" ca="1" si="2"/>
        <v>46152</v>
      </c>
      <c r="BM5" s="24">
        <f ca="1">BL5+1</f>
        <v>46153</v>
      </c>
      <c r="BN5" s="22">
        <f ca="1">BM5+1</f>
        <v>46154</v>
      </c>
      <c r="BO5" s="22">
        <f t="shared" ref="BO5" ca="1" si="3">BN5+1</f>
        <v>46155</v>
      </c>
      <c r="BP5" s="22">
        <f t="shared" ref="BP5" ca="1" si="4">BO5+1</f>
        <v>46156</v>
      </c>
      <c r="BQ5" s="22">
        <f t="shared" ref="BQ5" ca="1" si="5">BP5+1</f>
        <v>46157</v>
      </c>
      <c r="BR5" s="22">
        <f t="shared" ref="BR5" ca="1" si="6">BQ5+1</f>
        <v>46158</v>
      </c>
      <c r="BS5" s="22">
        <f t="shared" ref="BS5" ca="1" si="7">BR5+1</f>
        <v>46159</v>
      </c>
      <c r="BT5" s="24">
        <f ca="1">BS5+1</f>
        <v>46160</v>
      </c>
      <c r="BU5" s="22">
        <f ca="1">BT5+1</f>
        <v>46161</v>
      </c>
      <c r="BV5" s="22">
        <f t="shared" ref="BV5" ca="1" si="8">BU5+1</f>
        <v>46162</v>
      </c>
      <c r="BW5" s="22">
        <f t="shared" ref="BW5" ca="1" si="9">BV5+1</f>
        <v>46163</v>
      </c>
      <c r="BX5" s="22">
        <f t="shared" ref="BX5" ca="1" si="10">BW5+1</f>
        <v>46164</v>
      </c>
      <c r="BY5" s="22">
        <f t="shared" ref="BY5" ca="1" si="11">BX5+1</f>
        <v>46165</v>
      </c>
      <c r="BZ5" s="22">
        <f t="shared" ref="BZ5" ca="1" si="12">BY5+1</f>
        <v>46166</v>
      </c>
      <c r="CA5" s="24">
        <f ca="1">BZ5+1</f>
        <v>46167</v>
      </c>
      <c r="CB5" s="22">
        <f ca="1">CA5+1</f>
        <v>46168</v>
      </c>
      <c r="CC5" s="22">
        <f t="shared" ref="CC5" ca="1" si="13">CB5+1</f>
        <v>46169</v>
      </c>
      <c r="CD5" s="22">
        <f t="shared" ref="CD5" ca="1" si="14">CC5+1</f>
        <v>46170</v>
      </c>
      <c r="CE5" s="22">
        <f t="shared" ref="CE5" ca="1" si="15">CD5+1</f>
        <v>46171</v>
      </c>
      <c r="CF5" s="22">
        <f t="shared" ref="CF5" ca="1" si="16">CE5+1</f>
        <v>46172</v>
      </c>
      <c r="CG5" s="22">
        <f t="shared" ref="CG5" ca="1" si="17">CF5+1</f>
        <v>46173</v>
      </c>
      <c r="CH5" s="24">
        <f ca="1">CG5+1</f>
        <v>46174</v>
      </c>
      <c r="CI5" s="22">
        <f ca="1">CH5+1</f>
        <v>46175</v>
      </c>
      <c r="CJ5" s="22">
        <f t="shared" ref="CJ5" ca="1" si="18">CI5+1</f>
        <v>46176</v>
      </c>
      <c r="CK5" s="22">
        <f t="shared" ref="CK5" ca="1" si="19">CJ5+1</f>
        <v>46177</v>
      </c>
      <c r="CL5" s="22">
        <f t="shared" ref="CL5" ca="1" si="20">CK5+1</f>
        <v>46178</v>
      </c>
      <c r="CM5" s="22">
        <f t="shared" ref="CM5" ca="1" si="21">CL5+1</f>
        <v>46179</v>
      </c>
      <c r="CN5" s="22">
        <f t="shared" ref="CN5" ca="1" si="22">CM5+1</f>
        <v>46180</v>
      </c>
    </row>
    <row r="6" spans="1:92" s="20" customFormat="1" ht="15" customHeight="1" thickBot="1" x14ac:dyDescent="0.2">
      <c r="A6" s="119"/>
      <c r="B6" s="121"/>
      <c r="C6" s="123"/>
      <c r="D6" s="123"/>
      <c r="E6" s="126"/>
      <c r="F6" s="126"/>
      <c r="I6" s="25" t="str">
        <f t="shared" ref="I6:AN6" ca="1" si="23">LEFT(TEXT(I5,"ddd"),1)</f>
        <v>M</v>
      </c>
      <c r="J6" s="26" t="str">
        <f t="shared" ca="1" si="23"/>
        <v>T</v>
      </c>
      <c r="K6" s="26" t="str">
        <f t="shared" ca="1" si="23"/>
        <v>W</v>
      </c>
      <c r="L6" s="26" t="str">
        <f t="shared" ca="1" si="23"/>
        <v>T</v>
      </c>
      <c r="M6" s="26" t="str">
        <f t="shared" ca="1" si="23"/>
        <v>F</v>
      </c>
      <c r="N6" s="26" t="str">
        <f t="shared" ca="1" si="23"/>
        <v>S</v>
      </c>
      <c r="O6" s="26" t="str">
        <f t="shared" ca="1" si="23"/>
        <v>S</v>
      </c>
      <c r="P6" s="26" t="str">
        <f t="shared" ca="1" si="23"/>
        <v>M</v>
      </c>
      <c r="Q6" s="26" t="str">
        <f t="shared" ca="1" si="23"/>
        <v>T</v>
      </c>
      <c r="R6" s="26" t="str">
        <f t="shared" ca="1" si="23"/>
        <v>W</v>
      </c>
      <c r="S6" s="26" t="str">
        <f t="shared" ca="1" si="23"/>
        <v>T</v>
      </c>
      <c r="T6" s="26" t="str">
        <f t="shared" ca="1" si="23"/>
        <v>F</v>
      </c>
      <c r="U6" s="26" t="str">
        <f t="shared" ca="1" si="23"/>
        <v>S</v>
      </c>
      <c r="V6" s="26" t="str">
        <f t="shared" ca="1" si="23"/>
        <v>S</v>
      </c>
      <c r="W6" s="26" t="str">
        <f t="shared" ca="1" si="23"/>
        <v>M</v>
      </c>
      <c r="X6" s="26" t="str">
        <f t="shared" ca="1" si="23"/>
        <v>T</v>
      </c>
      <c r="Y6" s="26" t="str">
        <f t="shared" ca="1" si="23"/>
        <v>W</v>
      </c>
      <c r="Z6" s="26" t="str">
        <f t="shared" ca="1" si="23"/>
        <v>T</v>
      </c>
      <c r="AA6" s="26" t="str">
        <f t="shared" ca="1" si="23"/>
        <v>F</v>
      </c>
      <c r="AB6" s="26" t="str">
        <f t="shared" ca="1" si="23"/>
        <v>S</v>
      </c>
      <c r="AC6" s="26" t="str">
        <f t="shared" ca="1" si="23"/>
        <v>S</v>
      </c>
      <c r="AD6" s="26" t="str">
        <f t="shared" ca="1" si="23"/>
        <v>M</v>
      </c>
      <c r="AE6" s="26" t="str">
        <f t="shared" ca="1" si="23"/>
        <v>T</v>
      </c>
      <c r="AF6" s="26" t="str">
        <f t="shared" ca="1" si="23"/>
        <v>W</v>
      </c>
      <c r="AG6" s="26" t="str">
        <f t="shared" ca="1" si="23"/>
        <v>T</v>
      </c>
      <c r="AH6" s="26" t="str">
        <f t="shared" ca="1" si="23"/>
        <v>F</v>
      </c>
      <c r="AI6" s="26" t="str">
        <f t="shared" ca="1" si="23"/>
        <v>S</v>
      </c>
      <c r="AJ6" s="26" t="str">
        <f t="shared" ca="1" si="23"/>
        <v>S</v>
      </c>
      <c r="AK6" s="26" t="str">
        <f t="shared" ca="1" si="23"/>
        <v>M</v>
      </c>
      <c r="AL6" s="26" t="str">
        <f t="shared" ca="1" si="23"/>
        <v>T</v>
      </c>
      <c r="AM6" s="26" t="str">
        <f t="shared" ca="1" si="23"/>
        <v>W</v>
      </c>
      <c r="AN6" s="26" t="str">
        <f t="shared" ca="1" si="23"/>
        <v>T</v>
      </c>
      <c r="AO6" s="26" t="str">
        <f t="shared" ref="AO6:BL6" ca="1" si="24">LEFT(TEXT(AO5,"ddd"),1)</f>
        <v>F</v>
      </c>
      <c r="AP6" s="26" t="str">
        <f t="shared" ca="1" si="24"/>
        <v>S</v>
      </c>
      <c r="AQ6" s="26" t="str">
        <f t="shared" ca="1" si="24"/>
        <v>S</v>
      </c>
      <c r="AR6" s="26" t="str">
        <f t="shared" ca="1" si="24"/>
        <v>M</v>
      </c>
      <c r="AS6" s="26" t="str">
        <f t="shared" ca="1" si="24"/>
        <v>T</v>
      </c>
      <c r="AT6" s="26" t="str">
        <f t="shared" ca="1" si="24"/>
        <v>W</v>
      </c>
      <c r="AU6" s="26" t="str">
        <f t="shared" ca="1" si="24"/>
        <v>T</v>
      </c>
      <c r="AV6" s="26" t="str">
        <f t="shared" ca="1" si="24"/>
        <v>F</v>
      </c>
      <c r="AW6" s="26" t="str">
        <f t="shared" ca="1" si="24"/>
        <v>S</v>
      </c>
      <c r="AX6" s="26" t="str">
        <f t="shared" ca="1" si="24"/>
        <v>S</v>
      </c>
      <c r="AY6" s="26" t="str">
        <f t="shared" ca="1" si="24"/>
        <v>M</v>
      </c>
      <c r="AZ6" s="26" t="str">
        <f t="shared" ca="1" si="24"/>
        <v>T</v>
      </c>
      <c r="BA6" s="26" t="str">
        <f t="shared" ca="1" si="24"/>
        <v>W</v>
      </c>
      <c r="BB6" s="26" t="str">
        <f t="shared" ca="1" si="24"/>
        <v>T</v>
      </c>
      <c r="BC6" s="26" t="str">
        <f t="shared" ca="1" si="24"/>
        <v>F</v>
      </c>
      <c r="BD6" s="26" t="str">
        <f t="shared" ca="1" si="24"/>
        <v>S</v>
      </c>
      <c r="BE6" s="26" t="str">
        <f t="shared" ca="1" si="24"/>
        <v>S</v>
      </c>
      <c r="BF6" s="26" t="str">
        <f t="shared" ca="1" si="24"/>
        <v>M</v>
      </c>
      <c r="BG6" s="26" t="str">
        <f t="shared" ca="1" si="24"/>
        <v>T</v>
      </c>
      <c r="BH6" s="26" t="str">
        <f t="shared" ca="1" si="24"/>
        <v>W</v>
      </c>
      <c r="BI6" s="26" t="str">
        <f t="shared" ca="1" si="24"/>
        <v>T</v>
      </c>
      <c r="BJ6" s="26" t="str">
        <f t="shared" ca="1" si="24"/>
        <v>F</v>
      </c>
      <c r="BK6" s="26" t="str">
        <f t="shared" ca="1" si="24"/>
        <v>S</v>
      </c>
      <c r="BL6" s="27" t="str">
        <f t="shared" ca="1" si="24"/>
        <v>S</v>
      </c>
      <c r="BM6" s="26" t="str">
        <f t="shared" ref="BM6:BS6" ca="1" si="25">LEFT(TEXT(BM5,"ddd"),1)</f>
        <v>M</v>
      </c>
      <c r="BN6" s="26" t="str">
        <f t="shared" ca="1" si="25"/>
        <v>T</v>
      </c>
      <c r="BO6" s="26" t="str">
        <f t="shared" ca="1" si="25"/>
        <v>W</v>
      </c>
      <c r="BP6" s="26" t="str">
        <f t="shared" ca="1" si="25"/>
        <v>T</v>
      </c>
      <c r="BQ6" s="26" t="str">
        <f t="shared" ca="1" si="25"/>
        <v>F</v>
      </c>
      <c r="BR6" s="26" t="str">
        <f t="shared" ca="1" si="25"/>
        <v>S</v>
      </c>
      <c r="BS6" s="27" t="str">
        <f t="shared" ca="1" si="25"/>
        <v>S</v>
      </c>
      <c r="BT6" s="26" t="str">
        <f t="shared" ref="BT6:BZ6" ca="1" si="26">LEFT(TEXT(BT5,"ddd"),1)</f>
        <v>M</v>
      </c>
      <c r="BU6" s="26" t="str">
        <f t="shared" ca="1" si="26"/>
        <v>T</v>
      </c>
      <c r="BV6" s="26" t="str">
        <f t="shared" ca="1" si="26"/>
        <v>W</v>
      </c>
      <c r="BW6" s="26" t="str">
        <f t="shared" ca="1" si="26"/>
        <v>T</v>
      </c>
      <c r="BX6" s="26" t="str">
        <f t="shared" ca="1" si="26"/>
        <v>F</v>
      </c>
      <c r="BY6" s="26" t="str">
        <f t="shared" ca="1" si="26"/>
        <v>S</v>
      </c>
      <c r="BZ6" s="27" t="str">
        <f t="shared" ca="1" si="26"/>
        <v>S</v>
      </c>
      <c r="CA6" s="26" t="str">
        <f t="shared" ref="CA6:CG6" ca="1" si="27">LEFT(TEXT(CA5,"ddd"),1)</f>
        <v>M</v>
      </c>
      <c r="CB6" s="26" t="str">
        <f t="shared" ca="1" si="27"/>
        <v>T</v>
      </c>
      <c r="CC6" s="26" t="str">
        <f t="shared" ca="1" si="27"/>
        <v>W</v>
      </c>
      <c r="CD6" s="26" t="str">
        <f t="shared" ca="1" si="27"/>
        <v>T</v>
      </c>
      <c r="CE6" s="26" t="str">
        <f t="shared" ca="1" si="27"/>
        <v>F</v>
      </c>
      <c r="CF6" s="26" t="str">
        <f t="shared" ca="1" si="27"/>
        <v>S</v>
      </c>
      <c r="CG6" s="27" t="str">
        <f t="shared" ca="1" si="27"/>
        <v>S</v>
      </c>
      <c r="CH6" s="26" t="str">
        <f t="shared" ref="CH6:CN6" ca="1" si="28">LEFT(TEXT(CH5,"ddd"),1)</f>
        <v>M</v>
      </c>
      <c r="CI6" s="26" t="str">
        <f t="shared" ca="1" si="28"/>
        <v>T</v>
      </c>
      <c r="CJ6" s="26" t="str">
        <f t="shared" ca="1" si="28"/>
        <v>W</v>
      </c>
      <c r="CK6" s="26" t="str">
        <f t="shared" ca="1" si="28"/>
        <v>T</v>
      </c>
      <c r="CL6" s="26" t="str">
        <f t="shared" ca="1" si="28"/>
        <v>F</v>
      </c>
      <c r="CM6" s="26" t="str">
        <f t="shared" ca="1" si="28"/>
        <v>S</v>
      </c>
      <c r="CN6" s="27" t="str">
        <f t="shared" ca="1"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 ca="1">Project_Start</f>
        <v>46064</v>
      </c>
      <c r="F9" s="92">
        <f ca="1">E9+58</f>
        <v>46122</v>
      </c>
      <c r="G9" s="14"/>
      <c r="H9" s="4">
        <f t="shared" ca="1"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 ca="1">Project_Start</f>
        <v>46064</v>
      </c>
      <c r="F10" s="92">
        <f ca="1">E10+58</f>
        <v>46122</v>
      </c>
      <c r="G10" s="14"/>
      <c r="H10" s="4">
        <f t="shared" ca="1"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 ca="1">Project_Start</f>
        <v>46064</v>
      </c>
      <c r="F11" s="92">
        <f ca="1">E11+58</f>
        <v>46122</v>
      </c>
      <c r="G11" s="14"/>
      <c r="H11" s="4">
        <f t="shared" ca="1"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 ca="1">Project_Start</f>
        <v>46064</v>
      </c>
      <c r="F12" s="92">
        <f ca="1">E12+58</f>
        <v>46122</v>
      </c>
      <c r="G12" s="14"/>
      <c r="H12" s="4">
        <f t="shared" ca="1"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 ca="1">Project_Start</f>
        <v>46064</v>
      </c>
      <c r="F13" s="92">
        <f ca="1">E13+58</f>
        <v>46122</v>
      </c>
      <c r="G13" s="14"/>
      <c r="H13" s="4">
        <f t="shared" ca="1"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x14ac:dyDescent="0.2">
      <c r="A14" s="12"/>
      <c r="B14" s="40" t="s">
        <v>41</v>
      </c>
      <c r="C14" s="41"/>
      <c r="D14" s="42">
        <v>0</v>
      </c>
      <c r="E14" s="92">
        <f ca="1">F13+1</f>
        <v>46123</v>
      </c>
      <c r="F14" s="92">
        <f ca="1">E14+7</f>
        <v>46130</v>
      </c>
      <c r="G14" s="14"/>
      <c r="H14" s="4">
        <f t="shared" ca="1" si="29"/>
        <v>8</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 ca="1">Project_Start</f>
        <v>46064</v>
      </c>
      <c r="F16" s="92">
        <f ca="1">E16+58</f>
        <v>46122</v>
      </c>
      <c r="G16" s="14"/>
      <c r="H16" s="4">
        <f t="shared" ca="1"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 ca="1">Project_Start</f>
        <v>46064</v>
      </c>
      <c r="F17" s="92">
        <f ca="1">E17+58</f>
        <v>46122</v>
      </c>
      <c r="G17" s="14"/>
      <c r="H17" s="4">
        <f t="shared" ca="1"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 ca="1">Project_Start</f>
        <v>46064</v>
      </c>
      <c r="F18" s="93">
        <f ca="1">F17</f>
        <v>46122</v>
      </c>
      <c r="G18" s="14"/>
      <c r="H18" s="4">
        <f t="shared" ca="1"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 ca="1">Project_Start</f>
        <v>46064</v>
      </c>
      <c r="F20" s="92">
        <f ca="1">E20+58</f>
        <v>46122</v>
      </c>
      <c r="G20" s="14"/>
      <c r="H20" s="4">
        <f t="shared" ca="1"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64</v>
      </c>
      <c r="C21" s="37"/>
      <c r="D21" s="38"/>
      <c r="E21" s="92">
        <f ca="1">Project_Start</f>
        <v>46064</v>
      </c>
      <c r="F21" s="92">
        <f ca="1">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 ca="1">F21+1</f>
        <v>46123</v>
      </c>
      <c r="F22" s="93">
        <f ca="1">E22+7</f>
        <v>46130</v>
      </c>
      <c r="G22" s="14"/>
      <c r="H22" s="4">
        <f t="shared" ca="1"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 ca="1">Project_Start</f>
        <v>46064</v>
      </c>
      <c r="F24" s="96">
        <f ca="1">E24+20</f>
        <v>46084</v>
      </c>
      <c r="G24" s="14"/>
      <c r="H24" s="4">
        <f t="shared" ca="1"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0.85</v>
      </c>
      <c r="E25" s="96">
        <f ca="1">Project_Start</f>
        <v>46064</v>
      </c>
      <c r="F25" s="96">
        <f ca="1">E25+9</f>
        <v>46073</v>
      </c>
      <c r="G25" s="14"/>
      <c r="H25" s="4">
        <f t="shared" ca="1"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62</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61</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60</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0.1</v>
      </c>
      <c r="E35" s="99">
        <f ca="1">Project_Start</f>
        <v>46064</v>
      </c>
      <c r="F35" s="99">
        <f ca="1">E35+14</f>
        <v>46078</v>
      </c>
      <c r="G35" s="14"/>
      <c r="H35" s="4">
        <f t="shared" ca="1"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v>
      </c>
      <c r="E36" s="99">
        <f ca="1">F35+1</f>
        <v>46079</v>
      </c>
      <c r="F36" s="99">
        <f>F33</f>
        <v>46130</v>
      </c>
      <c r="G36" s="14"/>
      <c r="H36" s="4">
        <f t="shared" ca="1"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0.3</v>
      </c>
      <c r="E38" s="99">
        <f ca="1">Project_Start</f>
        <v>46064</v>
      </c>
      <c r="F38" s="99">
        <f ca="1">E38+21</f>
        <v>46085</v>
      </c>
      <c r="G38" s="14"/>
      <c r="H38" s="4">
        <f t="shared" ca="1"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 ca="1">F38</f>
        <v>46085</v>
      </c>
      <c r="F39" s="99">
        <f>F33</f>
        <v>46130</v>
      </c>
      <c r="G39" s="14"/>
      <c r="H39" s="4">
        <f t="shared" ca="1"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56</v>
      </c>
      <c r="C40" s="55"/>
      <c r="D40" s="56">
        <v>0</v>
      </c>
      <c r="E40" s="99">
        <f ca="1">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57</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59</v>
      </c>
      <c r="C43" s="62"/>
      <c r="D43" s="63">
        <v>0</v>
      </c>
      <c r="E43" s="102">
        <f ca="1">E35</f>
        <v>46064</v>
      </c>
      <c r="F43" s="102">
        <f>E47-3</f>
        <v>46157</v>
      </c>
      <c r="G43" s="14"/>
      <c r="H43" s="4">
        <f t="shared" ca="1"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58</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I47:BK48 BL44:BM44 I45:BM45">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I47:BK48 BL44:BM44 I45:BM45">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I46:BT46 BN44:BT45">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I46:BT46 BN44:BT45">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BM47:CA47">
    <cfRule type="expression" dxfId="21" priority="32">
      <formula>AND(TODAY()&gt;=BM$5, TODAY()&lt;BN$5)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BM47:CA47">
    <cfRule type="expression" dxfId="18" priority="39">
      <formula>AND(task_start&lt;=BM$5,ROUNDDOWN((task_end-task_start+1)*task_progress,0)+task_start-1&gt;=BM$5)</formula>
    </cfRule>
    <cfRule type="expression" dxfId="17" priority="40" stopIfTrue="1">
      <formula>AND(task_end&gt;=BM$5,task_start&lt;BN$5)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CB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CB47:CF47">
    <cfRule type="expression" dxfId="11" priority="30">
      <formula>AND(task_start&lt;=BU$5,ROUNDDOWN((task_end-task_start+1)*task_progress,0)+task_start-1&gt;=BU$5)</formula>
    </cfRule>
    <cfRule type="expression" dxfId="10" priority="31" stopIfTrue="1">
      <formula>AND(task_end&gt;=BU$5,task_start&lt;BV$5)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2026-02-11T13:39:41Z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