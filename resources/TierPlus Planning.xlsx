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52" documentId="8_{E97B7BBA-A1CF-CA4D-89B6-D5BE4B7D4A10}" xr6:coauthVersionLast="47" xr6:coauthVersionMax="47" xr10:uidLastSave="{22297D18-E066-694C-9FCB-D869A0E090A9}"/>
  <bookViews>
    <workbookView xWindow="0" yWindow="500" windowWidth="28800" windowHeight="160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<sst xmlns="http://schemas.openxmlformats.org/spreadsheetml/2006/main" count="71" uniqueCount="67">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</sst>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12" zoomScale="88" zoomScaleNormal="88" zoomScalePageLayoutView="70" workbookViewId="0">
      <selection activeCell="G25" sqref="G25"/>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18" t="s">
        <v>0</v>
      </c>
      <c r="J1" s="119"/>
      <c r="K1" s="119"/>
      <c r="L1" s="119"/>
      <c r="M1" s="119"/>
      <c r="N1" s="119"/>
      <c r="O1" s="119"/>
      <c r="P1" s="18"/>
      <c r="Q1" s="116">
        <v>46064</v>
      </c>
      <c r="R1" s="117"/>
      <c r="S1" s="117"/>
      <c r="T1" s="117"/>
      <c r="U1" s="117"/>
      <c r="V1" s="117"/>
      <c r="W1" s="117"/>
      <c r="X1" s="117"/>
      <c r="Y1" s="117"/>
      <c r="Z1" s="117"/>
    </row>
    <row r="2" spans="1:92" ht="30" customHeight="1" x14ac:dyDescent="0.4">
      <c r="B2" s="71"/>
      <c r="C2" s="72" t="s">
        <v>1</v>
      </c>
      <c r="D2" s="17"/>
      <c r="E2" s="84"/>
      <c r="F2" s="85"/>
      <c r="I2" s="118" t="s">
        <v>2</v>
      </c>
      <c r="J2" s="119"/>
      <c r="K2" s="119"/>
      <c r="L2" s="119"/>
      <c r="M2" s="119"/>
      <c r="N2" s="119"/>
      <c r="O2" s="119"/>
      <c r="P2" s="18"/>
      <c r="Q2" s="114">
        <v>5</v>
      </c>
      <c r="R2" s="115"/>
      <c r="S2" s="115"/>
      <c r="T2" s="115"/>
      <c r="U2" s="115"/>
      <c r="V2" s="115"/>
      <c r="W2" s="115"/>
      <c r="X2" s="115"/>
      <c r="Y2" s="115"/>
      <c r="Z2" s="115"/>
      <c r="AP2" t="s">
        <v>62</v>
      </c>
    </row>
    <row r="3" spans="1:92" s="20" customFormat="1" ht="30" customHeight="1" x14ac:dyDescent="0.15">
      <c r="A3" s="12"/>
      <c r="B3" s="19"/>
      <c r="D3" s="21"/>
      <c r="E3" s="86"/>
      <c r="F3" s="87"/>
    </row>
    <row r="4" spans="1:92" s="20" customFormat="1" ht="30" customHeight="1" x14ac:dyDescent="0.15">
      <c r="A4" s="81"/>
      <c r="B4" s="110" t="s">
        <v>4</v>
      </c>
      <c r="E4" s="88"/>
      <c r="F4" s="87"/>
      <c r="I4" s="120">
        <f>I5</f>
        <v>46090</v>
      </c>
      <c r="J4" s="112"/>
      <c r="K4" s="112"/>
      <c r="L4" s="112"/>
      <c r="M4" s="112"/>
      <c r="N4" s="112"/>
      <c r="O4" s="112"/>
      <c r="P4" s="112">
        <f>P5</f>
        <v>46097</v>
      </c>
      <c r="Q4" s="112"/>
      <c r="R4" s="112"/>
      <c r="S4" s="112"/>
      <c r="T4" s="112"/>
      <c r="U4" s="112"/>
      <c r="V4" s="112"/>
      <c r="W4" s="112">
        <f>W5</f>
        <v>46104</v>
      </c>
      <c r="X4" s="112"/>
      <c r="Y4" s="112"/>
      <c r="Z4" s="112"/>
      <c r="AA4" s="112"/>
      <c r="AB4" s="112"/>
      <c r="AC4" s="112"/>
      <c r="AD4" s="112">
        <f>AD5</f>
        <v>46111</v>
      </c>
      <c r="AE4" s="112"/>
      <c r="AF4" s="112"/>
      <c r="AG4" s="112"/>
      <c r="AH4" s="112"/>
      <c r="AI4" s="112"/>
      <c r="AJ4" s="112"/>
      <c r="AK4" s="112">
        <f>AK5</f>
        <v>46118</v>
      </c>
      <c r="AL4" s="112"/>
      <c r="AM4" s="112"/>
      <c r="AN4" s="112"/>
      <c r="AO4" s="112"/>
      <c r="AP4" s="112"/>
      <c r="AQ4" s="112"/>
      <c r="AR4" s="112">
        <f>AR5</f>
        <v>46125</v>
      </c>
      <c r="AS4" s="112"/>
      <c r="AT4" s="112"/>
      <c r="AU4" s="112"/>
      <c r="AV4" s="112"/>
      <c r="AW4" s="112"/>
      <c r="AX4" s="112"/>
      <c r="AY4" s="112">
        <f>AY5</f>
        <v>46132</v>
      </c>
      <c r="AZ4" s="112"/>
      <c r="BA4" s="112"/>
      <c r="BB4" s="112"/>
      <c r="BC4" s="112"/>
      <c r="BD4" s="112"/>
      <c r="BE4" s="112"/>
      <c r="BF4" s="112">
        <f>BF5</f>
        <v>46139</v>
      </c>
      <c r="BG4" s="112"/>
      <c r="BH4" s="112"/>
      <c r="BI4" s="112"/>
      <c r="BJ4" s="112"/>
      <c r="BK4" s="112"/>
      <c r="BL4" s="113"/>
      <c r="BM4" s="112">
        <f>BM5</f>
        <v>46146</v>
      </c>
      <c r="BN4" s="112"/>
      <c r="BO4" s="112"/>
      <c r="BP4" s="112"/>
      <c r="BQ4" s="112"/>
      <c r="BR4" s="112"/>
      <c r="BS4" s="113"/>
      <c r="BT4" s="112">
        <f>BT5</f>
        <v>46153</v>
      </c>
      <c r="BU4" s="112"/>
      <c r="BV4" s="112"/>
      <c r="BW4" s="112"/>
      <c r="BX4" s="112"/>
      <c r="BY4" s="112"/>
      <c r="BZ4" s="113"/>
      <c r="CA4" s="112">
        <f>CA5</f>
        <v>46160</v>
      </c>
      <c r="CB4" s="112"/>
      <c r="CC4" s="112"/>
      <c r="CD4" s="112"/>
      <c r="CE4" s="112"/>
      <c r="CF4" s="112"/>
      <c r="CG4" s="113"/>
      <c r="CH4" s="112">
        <f>CH5</f>
        <v>46167</v>
      </c>
      <c r="CI4" s="112"/>
      <c r="CJ4" s="112"/>
      <c r="CK4" s="112"/>
      <c r="CL4" s="112"/>
      <c r="CM4" s="112"/>
      <c r="CN4" s="113"/>
    </row>
    <row r="5" spans="1:92" s="20" customFormat="1" ht="15" customHeight="1" x14ac:dyDescent="0.15">
      <c r="A5" s="123"/>
      <c r="B5" s="124" t="s">
        <v>5</v>
      </c>
      <c r="C5" s="126" t="s">
        <v>6</v>
      </c>
      <c r="D5" s="128" t="s">
        <v>7</v>
      </c>
      <c r="E5" s="121" t="s">
        <v>8</v>
      </c>
      <c r="F5" s="121" t="s">
        <v>9</v>
      </c>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x14ac:dyDescent="0.2">
      <c r="A6" s="123"/>
      <c r="B6" s="125"/>
      <c r="C6" s="127"/>
      <c r="D6" s="127"/>
      <c r="E6" s="122"/>
      <c r="F6" s="12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11"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1</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1</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0.5</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11"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90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0.9</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6" stopIfTrue="1">
      <formula>AND(task_end&gt;=I$5,task_start&lt;J$5)</formula>
    </cfRule>
    <cfRule type="expression" dxfId="32" priority="115">
      <formula>AND(task_start&lt;=I$5,ROUNDDOWN((task_end-task_start+1)*task_progress,0)+task_start-1&gt;=I$5)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9" stopIfTrue="1">
      <formula>AND(task_end&gt;=I$5,task_start&lt;J$5)</formula>
    </cfRule>
    <cfRule type="expression" dxfId="26" priority="48">
      <formula>AND(task_start&lt;=I$5,ROUNDDOWN((task_end-task_start+1)*task_progress,0)+task_start-1&gt;=I$5)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1" stopIfTrue="1">
      <formula>AND(task_end&gt;=BM$5,task_start&lt;BN$5)</formula>
    </cfRule>
    <cfRule type="expression" dxfId="10" priority="30">
      <formula>AND(task_start&lt;=BM$5,ROUNDDOWN((task_end-task_start+1)*task_progress,0)+task_start-1&gt;=BM$5)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7" stopIfTrue="1">
      <formula>AND(task_end&gt;=BL$5,task_start&lt;BM$5)</formula>
    </cfRule>
    <cfRule type="expression" dxfId="7" priority="6">
      <formula>AND(task_start&lt;=BL$5,ROUNDDOWN((task_end-task_start+1)*task_progress,0)+task_start-1&gt;=BL$5)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2026-03-10T13:56:13Z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