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52" documentId="8_{E97B7BBA-A1CF-CA4D-89B6-D5BE4B7D4A10}" xr6:coauthVersionLast="47" xr6:coauthVersionMax="47" xr10:uidLastSave="{22297D18-E066-694C-9FCB-D869A0E090A9}"/>
  <bookViews>
    <workbookView xWindow="0" yWindow="500" windowWidth="28800" windowHeight="1602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1" l="1"/>
  <c r="H41" i="11"/>
  <c r="F45" i="11"/>
  <c r="E46" i="11" s="1"/>
  <c r="F46" i="11" s="1"/>
  <c r="E47" i="11" s="1"/>
  <c r="F44" i="11"/>
  <c r="F26" i="11"/>
  <c r="E27" i="11" s="1"/>
  <c r="H37" i="11"/>
  <c r="H15" i="11"/>
  <c r="H8" i="11"/>
  <c r="H7" i="11"/>
  <c r="F43" i="11" l="1"/>
  <c r="F47" i="11"/>
  <c r="E48" i="11" s="1"/>
  <c r="F48" i="11" s="1"/>
  <c r="E28" i="11"/>
  <c r="F28" i="11" s="1"/>
  <c r="E30" i="11" s="1"/>
  <c r="F30" i="11" s="1"/>
  <c r="E31" i="11" s="1"/>
  <c r="F27" i="11"/>
  <c r="E29" i="11" s="1"/>
  <c r="F29" i="11" s="1"/>
  <c r="E38" i="11" l="1"/>
  <c r="F38" i="11" s="1"/>
  <c r="E40" i="11" s="1"/>
  <c r="E18" i="11"/>
  <c r="E35" i="11"/>
  <c r="F35" i="11" s="1"/>
  <c r="E21" i="11"/>
  <c r="F21" i="11" s="1"/>
  <c r="E22" i="11" s="1"/>
  <c r="F22" i="11" s="1"/>
  <c r="E25" i="11"/>
  <c r="F25" i="11" s="1"/>
  <c r="E13" i="11"/>
  <c r="F13" i="11" s="1"/>
  <c r="E14" i="11" s="1"/>
  <c r="E17" i="11"/>
  <c r="F17" i="11" s="1"/>
  <c r="F18" i="11" s="1"/>
  <c r="E10" i="11"/>
  <c r="F10" i="11" s="1"/>
  <c r="E11" i="11"/>
  <c r="F11" i="11" s="1"/>
  <c r="E12" i="11"/>
  <c r="F12" i="11" s="1"/>
  <c r="E9" i="11"/>
  <c r="F9" i="11" s="1"/>
  <c r="E24" i="11"/>
  <c r="F24" i="11" s="1"/>
  <c r="E16" i="11"/>
  <c r="F16" i="11" s="1"/>
  <c r="E20" i="11"/>
  <c r="F20" i="11" s="1"/>
  <c r="I5" i="11"/>
  <c r="H50" i="11"/>
  <c r="H49" i="11"/>
  <c r="H42" i="11"/>
  <c r="H34" i="11"/>
  <c r="H23" i="11"/>
  <c r="H19" i="11"/>
  <c r="E43" i="11" l="1"/>
  <c r="H38" i="11"/>
  <c r="E39" i="11"/>
  <c r="E36" i="11"/>
  <c r="H20" i="11"/>
  <c r="H28" i="11"/>
  <c r="H16" i="11"/>
  <c r="I6" i="11"/>
  <c r="H44" i="11" l="1"/>
  <c r="H47" i="11"/>
  <c r="H13" i="11"/>
  <c r="H35" i="11"/>
  <c r="H30" i="11"/>
  <c r="H18" i="11"/>
  <c r="H17" i="11"/>
  <c r="H9" i="11"/>
  <c r="H22" i="11"/>
  <c r="H24" i="11"/>
  <c r="J5" i="11"/>
  <c r="K5" i="11" s="1"/>
  <c r="L5" i="11" s="1"/>
  <c r="M5" i="11" s="1"/>
  <c r="N5" i="11" s="1"/>
  <c r="O5" i="11" s="1"/>
  <c r="P5" i="11" s="1"/>
  <c r="I4" i="11"/>
  <c r="H48" i="11" l="1"/>
  <c r="H46" i="11"/>
  <c r="H14" i="11"/>
  <c r="H10" i="11"/>
  <c r="H25" i="11"/>
  <c r="P4" i="11"/>
  <c r="Q5" i="11"/>
  <c r="R5" i="11" s="1"/>
  <c r="S5" i="11" s="1"/>
  <c r="T5" i="11" s="1"/>
  <c r="U5" i="11" s="1"/>
  <c r="V5" i="11" s="1"/>
  <c r="W5" i="11" s="1"/>
  <c r="J6" i="11"/>
  <c r="H45" i="11" l="1"/>
  <c r="H43" i="11"/>
  <c r="H12" i="11"/>
  <c r="H11" i="11"/>
  <c r="H26" i="11"/>
  <c r="W4" i="11"/>
  <c r="X5" i="11"/>
  <c r="Y5" i="11" s="1"/>
  <c r="Z5" i="11" s="1"/>
  <c r="AA5" i="11" s="1"/>
  <c r="AB5" i="11" s="1"/>
  <c r="AC5" i="11" s="1"/>
  <c r="AD5" i="11" s="1"/>
  <c r="K6" i="11"/>
  <c r="H27" i="11" l="1"/>
  <c r="F31" i="11"/>
  <c r="E32" i="11" s="1"/>
  <c r="F32" i="11" s="1"/>
  <c r="AE5" i="11"/>
  <c r="AF5" i="11" s="1"/>
  <c r="AG5" i="11" s="1"/>
  <c r="AH5" i="11" s="1"/>
  <c r="AI5" i="11" s="1"/>
  <c r="AJ5" i="11" s="1"/>
  <c r="AD4" i="11"/>
  <c r="L6" i="11"/>
  <c r="H32" i="11" l="1"/>
  <c r="E33" i="11"/>
  <c r="F33" i="11" s="1"/>
  <c r="H31" i="11"/>
  <c r="AK5" i="11"/>
  <c r="AL5" i="11" s="1"/>
  <c r="AM5" i="11" s="1"/>
  <c r="AN5" i="11" s="1"/>
  <c r="AO5" i="11" s="1"/>
  <c r="AP5" i="11" s="1"/>
  <c r="AQ5" i="11" s="1"/>
  <c r="M6" i="11"/>
  <c r="F39" i="11" l="1"/>
  <c r="H39" i="11" s="1"/>
  <c r="F40" i="11"/>
  <c r="F36" i="11"/>
  <c r="H36" i="11" s="1"/>
  <c r="H33"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<sst xmlns="http://schemas.openxmlformats.org/spreadsheetml/2006/main" count="71" uniqueCount="67">
  <si>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</si>
  <si>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</si>
  <si>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</si>
  <si>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</si>
  <si>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</si>
  <si>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</si>
  <si>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</si>
  <si>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</si>
  <si>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</si>
  <si>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</si>
  <si>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</si>
  <si>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</si>
  <si>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</si>
  <si>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</si>
  <si>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</si>
  <si>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</si>
  <si>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</si>
  <si>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</si>
  <si>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</si>
  <si>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</si>
  <si>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</si>
  <si>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</si>
  <si>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</si>
  <si>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</si>
  <si>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</si>
  <si>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</si>
  <si>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</si>
  <si>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</si>
  <si>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</si>
  <si>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</si>
  <si>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</si>
  <si>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</si>
  <si>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</si>
  <si>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</si>
  <si>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</si>
  <si>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</si>
  <si>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</si>
  <si>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</si>
  <si>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</si>
  <si>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</si>
  <si>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</si>
  <si>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</si>
  <si>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</si>
  <si>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</si>
  <si>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</si>
  <si>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</si>
  <si>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</si>
  <si>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</si>
  <si>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</si>
  <si>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</si>
  <si>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</si>
  <si>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</si>
  <si>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</si>
  <si>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</si>
  <si>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</si>
  <si>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</si>
  <si>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</si>
  <si>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</si>
  <si>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</si>
  <si>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</si>
  <si>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</si>
  <si>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</si>
  <si>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</si>
  <si>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</si>
  <si>
    <t>Need a check for if I'm missing things</t>
  </si>
  <si>
    <t>Implement: Limits on combinations (prep+mmd)</t>
  </si>
  <si>
    <t>Check testing donwards especially, relative to current diagnoses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</si>
</sst>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9">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0" fontId="3" fillId="0" borderId="0" xfId="0" applyFont="1" applyAlignment="1">
      <alignment horizontal="center" vertical="center" wrapText="1"/>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tint="0.59996337778862885"/>
        </patternFill>
      </fill>
      <border>
        <left/>
        <right/>
      </border>
    </dxf>
    <dxf>
      <fill>
        <patternFill>
          <bgColor theme="8"/>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tint="0.59996337778862885"/>
        </patternFill>
      </fill>
      <border>
        <left/>
        <right/>
      </border>
    </dxf>
    <dxf>
      <fill>
        <patternFill>
          <bgColor theme="8"/>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tint="0.59996337778862885"/>
        </patternFill>
      </fill>
      <border>
        <left/>
        <right/>
      </border>
    </dxf>
    <dxf>
      <fill>
        <patternFill>
          <bgColor theme="8"/>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tint="0.59996337778862885"/>
        </patternFill>
      </fill>
      <border>
        <left/>
        <right/>
      </border>
    </dxf>
    <dxf>
      <fill>
        <patternFill>
          <bgColor theme="8"/>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trlProps/ctrlProp1.xml><?xml version="1.0" encoding="utf-8"?>
<formControlPr xmlns="http://schemas.microsoft.com/office/spreadsheetml/2009/9/main" objectType="Scroll" dx="15" fmlaLink="$Q$2" horiz="1" max="100" page="0" val="5"/>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3"/>
  <sheetViews>
    <sheetView showGridLines="0" tabSelected="1" showRuler="0" topLeftCell="A12" zoomScale="88" zoomScaleNormal="88" zoomScalePageLayoutView="70" workbookViewId="0">
      <selection activeCell="D26" sqref="D26"/>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3.83203125" customWidth="1"/>
    <col min="8" max="8" width="0.6640625" customWidth="1"/>
    <col min="9" max="92" width="2.6640625" customWidth="1"/>
  </cols>
  <sheetData>
    <row r="1" spans="1:92" ht="90" customHeight="1" x14ac:dyDescent="0.85">
      <c r="A1" s="81"/>
      <c r="B1" s="73" t="s">
        <v>25</v>
      </c>
      <c r="C1" s="15"/>
      <c r="D1" s="16"/>
      <c r="E1" s="82"/>
      <c r="F1" s="83"/>
      <c r="H1" s="1"/>
      <c r="I1" s="118" t="s">
        <v>0</v>
      </c>
      <c r="J1" s="119"/>
      <c r="K1" s="119"/>
      <c r="L1" s="119"/>
      <c r="M1" s="119"/>
      <c r="N1" s="119"/>
      <c r="O1" s="119"/>
      <c r="P1" s="18"/>
      <c r="Q1" s="116">
        <v>46064</v>
      </c>
      <c r="R1" s="117"/>
      <c r="S1" s="117"/>
      <c r="T1" s="117"/>
      <c r="U1" s="117"/>
      <c r="V1" s="117"/>
      <c r="W1" s="117"/>
      <c r="X1" s="117"/>
      <c r="Y1" s="117"/>
      <c r="Z1" s="117"/>
    </row>
    <row r="2" spans="1:92" ht="30" customHeight="1" x14ac:dyDescent="0.4">
      <c r="B2" s="71"/>
      <c r="C2" s="72" t="s">
        <v>1</v>
      </c>
      <c r="D2" s="17"/>
      <c r="E2" s="84"/>
      <c r="F2" s="85"/>
      <c r="I2" s="118" t="s">
        <v>2</v>
      </c>
      <c r="J2" s="119"/>
      <c r="K2" s="119"/>
      <c r="L2" s="119"/>
      <c r="M2" s="119"/>
      <c r="N2" s="119"/>
      <c r="O2" s="119"/>
      <c r="P2" s="18"/>
      <c r="Q2" s="114">
        <v>5</v>
      </c>
      <c r="R2" s="115"/>
      <c r="S2" s="115"/>
      <c r="T2" s="115"/>
      <c r="U2" s="115"/>
      <c r="V2" s="115"/>
      <c r="W2" s="115"/>
      <c r="X2" s="115"/>
      <c r="Y2" s="115"/>
      <c r="Z2" s="115"/>
      <c r="AP2" t="s">
        <v>62</v>
      </c>
    </row>
    <row r="3" spans="1:92" s="20" customFormat="1" ht="30" customHeight="1" x14ac:dyDescent="0.15">
      <c r="A3" s="12"/>
      <c r="B3" s="19"/>
      <c r="D3" s="21"/>
      <c r="E3" s="86"/>
      <c r="F3" s="87"/>
    </row>
    <row r="4" spans="1:92" s="20" customFormat="1" ht="30" customHeight="1" x14ac:dyDescent="0.15">
      <c r="A4" s="81"/>
      <c r="B4" s="110" t="s">
        <v>4</v>
      </c>
      <c r="E4" s="88"/>
      <c r="F4" s="87"/>
      <c r="I4" s="120">
        <f>I5</f>
        <v>46090</v>
      </c>
      <c r="J4" s="112"/>
      <c r="K4" s="112"/>
      <c r="L4" s="112"/>
      <c r="M4" s="112"/>
      <c r="N4" s="112"/>
      <c r="O4" s="112"/>
      <c r="P4" s="112">
        <f>P5</f>
        <v>46097</v>
      </c>
      <c r="Q4" s="112"/>
      <c r="R4" s="112"/>
      <c r="S4" s="112"/>
      <c r="T4" s="112"/>
      <c r="U4" s="112"/>
      <c r="V4" s="112"/>
      <c r="W4" s="112">
        <f>W5</f>
        <v>46104</v>
      </c>
      <c r="X4" s="112"/>
      <c r="Y4" s="112"/>
      <c r="Z4" s="112"/>
      <c r="AA4" s="112"/>
      <c r="AB4" s="112"/>
      <c r="AC4" s="112"/>
      <c r="AD4" s="112">
        <f>AD5</f>
        <v>46111</v>
      </c>
      <c r="AE4" s="112"/>
      <c r="AF4" s="112"/>
      <c r="AG4" s="112"/>
      <c r="AH4" s="112"/>
      <c r="AI4" s="112"/>
      <c r="AJ4" s="112"/>
      <c r="AK4" s="112">
        <f>AK5</f>
        <v>46118</v>
      </c>
      <c r="AL4" s="112"/>
      <c r="AM4" s="112"/>
      <c r="AN4" s="112"/>
      <c r="AO4" s="112"/>
      <c r="AP4" s="112"/>
      <c r="AQ4" s="112"/>
      <c r="AR4" s="112">
        <f>AR5</f>
        <v>46125</v>
      </c>
      <c r="AS4" s="112"/>
      <c r="AT4" s="112"/>
      <c r="AU4" s="112"/>
      <c r="AV4" s="112"/>
      <c r="AW4" s="112"/>
      <c r="AX4" s="112"/>
      <c r="AY4" s="112">
        <f>AY5</f>
        <v>46132</v>
      </c>
      <c r="AZ4" s="112"/>
      <c r="BA4" s="112"/>
      <c r="BB4" s="112"/>
      <c r="BC4" s="112"/>
      <c r="BD4" s="112"/>
      <c r="BE4" s="112"/>
      <c r="BF4" s="112">
        <f>BF5</f>
        <v>46139</v>
      </c>
      <c r="BG4" s="112"/>
      <c r="BH4" s="112"/>
      <c r="BI4" s="112"/>
      <c r="BJ4" s="112"/>
      <c r="BK4" s="112"/>
      <c r="BL4" s="113"/>
      <c r="BM4" s="112">
        <f>BM5</f>
        <v>46146</v>
      </c>
      <c r="BN4" s="112"/>
      <c r="BO4" s="112"/>
      <c r="BP4" s="112"/>
      <c r="BQ4" s="112"/>
      <c r="BR4" s="112"/>
      <c r="BS4" s="113"/>
      <c r="BT4" s="112">
        <f>BT5</f>
        <v>46153</v>
      </c>
      <c r="BU4" s="112"/>
      <c r="BV4" s="112"/>
      <c r="BW4" s="112"/>
      <c r="BX4" s="112"/>
      <c r="BY4" s="112"/>
      <c r="BZ4" s="113"/>
      <c r="CA4" s="112">
        <f>CA5</f>
        <v>46160</v>
      </c>
      <c r="CB4" s="112"/>
      <c r="CC4" s="112"/>
      <c r="CD4" s="112"/>
      <c r="CE4" s="112"/>
      <c r="CF4" s="112"/>
      <c r="CG4" s="113"/>
      <c r="CH4" s="112">
        <f>CH5</f>
        <v>46167</v>
      </c>
      <c r="CI4" s="112"/>
      <c r="CJ4" s="112"/>
      <c r="CK4" s="112"/>
      <c r="CL4" s="112"/>
      <c r="CM4" s="112"/>
      <c r="CN4" s="113"/>
    </row>
    <row r="5" spans="1:92" s="20" customFormat="1" ht="15" customHeight="1" x14ac:dyDescent="0.15">
      <c r="A5" s="123"/>
      <c r="B5" s="124" t="s">
        <v>5</v>
      </c>
      <c r="C5" s="126" t="s">
        <v>6</v>
      </c>
      <c r="D5" s="128" t="s">
        <v>7</v>
      </c>
      <c r="E5" s="121" t="s">
        <v>8</v>
      </c>
      <c r="F5" s="121" t="s">
        <v>9</v>
      </c>
      <c r="I5" s="22">
        <f>Project_Start-WEEKDAY(Project_Start,1)+2+7*(Display_Week-1)</f>
        <v>46090</v>
      </c>
      <c r="J5" s="22">
        <f>I5+1</f>
        <v>46091</v>
      </c>
      <c r="K5" s="22">
        <f t="shared" ref="K5:AX5" si="0">J5+1</f>
        <v>46092</v>
      </c>
      <c r="L5" s="22">
        <f t="shared" si="0"/>
        <v>46093</v>
      </c>
      <c r="M5" s="22">
        <f t="shared" si="0"/>
        <v>46094</v>
      </c>
      <c r="N5" s="22">
        <f t="shared" si="0"/>
        <v>46095</v>
      </c>
      <c r="O5" s="23">
        <f t="shared" si="0"/>
        <v>46096</v>
      </c>
      <c r="P5" s="24">
        <f>O5+1</f>
        <v>46097</v>
      </c>
      <c r="Q5" s="22">
        <f>P5+1</f>
        <v>46098</v>
      </c>
      <c r="R5" s="22">
        <f t="shared" si="0"/>
        <v>46099</v>
      </c>
      <c r="S5" s="22">
        <f t="shared" si="0"/>
        <v>46100</v>
      </c>
      <c r="T5" s="22">
        <f t="shared" si="0"/>
        <v>46101</v>
      </c>
      <c r="U5" s="22">
        <f t="shared" si="0"/>
        <v>46102</v>
      </c>
      <c r="V5" s="23">
        <f t="shared" si="0"/>
        <v>46103</v>
      </c>
      <c r="W5" s="24">
        <f>V5+1</f>
        <v>46104</v>
      </c>
      <c r="X5" s="22">
        <f>W5+1</f>
        <v>46105</v>
      </c>
      <c r="Y5" s="22">
        <f t="shared" si="0"/>
        <v>46106</v>
      </c>
      <c r="Z5" s="22">
        <f t="shared" si="0"/>
        <v>46107</v>
      </c>
      <c r="AA5" s="22">
        <f t="shared" si="0"/>
        <v>46108</v>
      </c>
      <c r="AB5" s="22">
        <f t="shared" si="0"/>
        <v>46109</v>
      </c>
      <c r="AC5" s="23">
        <f t="shared" si="0"/>
        <v>46110</v>
      </c>
      <c r="AD5" s="24">
        <f>AC5+1</f>
        <v>46111</v>
      </c>
      <c r="AE5" s="22">
        <f>AD5+1</f>
        <v>46112</v>
      </c>
      <c r="AF5" s="22">
        <f t="shared" si="0"/>
        <v>46113</v>
      </c>
      <c r="AG5" s="22">
        <f t="shared" si="0"/>
        <v>46114</v>
      </c>
      <c r="AH5" s="22">
        <f t="shared" si="0"/>
        <v>46115</v>
      </c>
      <c r="AI5" s="22">
        <f t="shared" si="0"/>
        <v>46116</v>
      </c>
      <c r="AJ5" s="23">
        <f t="shared" si="0"/>
        <v>46117</v>
      </c>
      <c r="AK5" s="24">
        <f>AJ5+1</f>
        <v>46118</v>
      </c>
      <c r="AL5" s="22">
        <f>AK5+1</f>
        <v>46119</v>
      </c>
      <c r="AM5" s="22">
        <f t="shared" si="0"/>
        <v>46120</v>
      </c>
      <c r="AN5" s="22">
        <f t="shared" si="0"/>
        <v>46121</v>
      </c>
      <c r="AO5" s="22">
        <f t="shared" si="0"/>
        <v>46122</v>
      </c>
      <c r="AP5" s="22">
        <f t="shared" si="0"/>
        <v>46123</v>
      </c>
      <c r="AQ5" s="23">
        <f t="shared" si="0"/>
        <v>46124</v>
      </c>
      <c r="AR5" s="24">
        <f>AQ5+1</f>
        <v>46125</v>
      </c>
      <c r="AS5" s="22">
        <f>AR5+1</f>
        <v>46126</v>
      </c>
      <c r="AT5" s="22">
        <f t="shared" si="0"/>
        <v>46127</v>
      </c>
      <c r="AU5" s="22">
        <f t="shared" si="0"/>
        <v>46128</v>
      </c>
      <c r="AV5" s="22">
        <f t="shared" si="0"/>
        <v>46129</v>
      </c>
      <c r="AW5" s="22">
        <f t="shared" si="0"/>
        <v>46130</v>
      </c>
      <c r="AX5" s="23">
        <f t="shared" si="0"/>
        <v>46131</v>
      </c>
      <c r="AY5" s="24">
        <f>AX5+1</f>
        <v>46132</v>
      </c>
      <c r="AZ5" s="22">
        <f>AY5+1</f>
        <v>46133</v>
      </c>
      <c r="BA5" s="22">
        <f t="shared" ref="BA5:BE5" si="1">AZ5+1</f>
        <v>46134</v>
      </c>
      <c r="BB5" s="22">
        <f t="shared" si="1"/>
        <v>46135</v>
      </c>
      <c r="BC5" s="22">
        <f t="shared" si="1"/>
        <v>46136</v>
      </c>
      <c r="BD5" s="22">
        <f t="shared" si="1"/>
        <v>46137</v>
      </c>
      <c r="BE5" s="23">
        <f t="shared" si="1"/>
        <v>46138</v>
      </c>
      <c r="BF5" s="24">
        <f>BE5+1</f>
        <v>46139</v>
      </c>
      <c r="BG5" s="22">
        <f>BF5+1</f>
        <v>46140</v>
      </c>
      <c r="BH5" s="22">
        <f t="shared" ref="BH5:BL5" si="2">BG5+1</f>
        <v>46141</v>
      </c>
      <c r="BI5" s="22">
        <f t="shared" si="2"/>
        <v>46142</v>
      </c>
      <c r="BJ5" s="22">
        <f t="shared" si="2"/>
        <v>46143</v>
      </c>
      <c r="BK5" s="22">
        <f t="shared" si="2"/>
        <v>46144</v>
      </c>
      <c r="BL5" s="22">
        <f t="shared" si="2"/>
        <v>46145</v>
      </c>
      <c r="BM5" s="24">
        <f>BL5+1</f>
        <v>46146</v>
      </c>
      <c r="BN5" s="22">
        <f>BM5+1</f>
        <v>46147</v>
      </c>
      <c r="BO5" s="22">
        <f t="shared" ref="BO5" si="3">BN5+1</f>
        <v>46148</v>
      </c>
      <c r="BP5" s="22">
        <f t="shared" ref="BP5" si="4">BO5+1</f>
        <v>46149</v>
      </c>
      <c r="BQ5" s="22">
        <f t="shared" ref="BQ5" si="5">BP5+1</f>
        <v>46150</v>
      </c>
      <c r="BR5" s="22">
        <f t="shared" ref="BR5" si="6">BQ5+1</f>
        <v>46151</v>
      </c>
      <c r="BS5" s="22">
        <f t="shared" ref="BS5" si="7">BR5+1</f>
        <v>46152</v>
      </c>
      <c r="BT5" s="24">
        <f>BS5+1</f>
        <v>46153</v>
      </c>
      <c r="BU5" s="22">
        <f>BT5+1</f>
        <v>46154</v>
      </c>
      <c r="BV5" s="22">
        <f t="shared" ref="BV5" si="8">BU5+1</f>
        <v>46155</v>
      </c>
      <c r="BW5" s="22">
        <f t="shared" ref="BW5" si="9">BV5+1</f>
        <v>46156</v>
      </c>
      <c r="BX5" s="22">
        <f t="shared" ref="BX5" si="10">BW5+1</f>
        <v>46157</v>
      </c>
      <c r="BY5" s="22">
        <f t="shared" ref="BY5" si="11">BX5+1</f>
        <v>46158</v>
      </c>
      <c r="BZ5" s="22">
        <f t="shared" ref="BZ5" si="12">BY5+1</f>
        <v>46159</v>
      </c>
      <c r="CA5" s="24">
        <f>BZ5+1</f>
        <v>46160</v>
      </c>
      <c r="CB5" s="22">
        <f>CA5+1</f>
        <v>46161</v>
      </c>
      <c r="CC5" s="22">
        <f t="shared" ref="CC5" si="13">CB5+1</f>
        <v>46162</v>
      </c>
      <c r="CD5" s="22">
        <f t="shared" ref="CD5" si="14">CC5+1</f>
        <v>46163</v>
      </c>
      <c r="CE5" s="22">
        <f t="shared" ref="CE5" si="15">CD5+1</f>
        <v>46164</v>
      </c>
      <c r="CF5" s="22">
        <f t="shared" ref="CF5" si="16">CE5+1</f>
        <v>46165</v>
      </c>
      <c r="CG5" s="22">
        <f t="shared" ref="CG5" si="17">CF5+1</f>
        <v>46166</v>
      </c>
      <c r="CH5" s="24">
        <f>CG5+1</f>
        <v>46167</v>
      </c>
      <c r="CI5" s="22">
        <f>CH5+1</f>
        <v>46168</v>
      </c>
      <c r="CJ5" s="22">
        <f t="shared" ref="CJ5" si="18">CI5+1</f>
        <v>46169</v>
      </c>
      <c r="CK5" s="22">
        <f t="shared" ref="CK5" si="19">CJ5+1</f>
        <v>46170</v>
      </c>
      <c r="CL5" s="22">
        <f t="shared" ref="CL5" si="20">CK5+1</f>
        <v>46171</v>
      </c>
      <c r="CM5" s="22">
        <f t="shared" ref="CM5" si="21">CL5+1</f>
        <v>46172</v>
      </c>
      <c r="CN5" s="22">
        <f t="shared" ref="CN5" si="22">CM5+1</f>
        <v>46173</v>
      </c>
    </row>
    <row r="6" spans="1:92" s="20" customFormat="1" ht="15" customHeight="1" thickBot="1" x14ac:dyDescent="0.2">
      <c r="A6" s="123"/>
      <c r="B6" s="125"/>
      <c r="C6" s="127"/>
      <c r="D6" s="127"/>
      <c r="E6" s="122"/>
      <c r="F6" s="122"/>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8"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Project_Start</f>
        <v>46064</v>
      </c>
      <c r="F9" s="92">
        <f>E9+58</f>
        <v>46122</v>
      </c>
      <c r="G9" s="14"/>
      <c r="H9" s="4">
        <f t="shared"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v>
      </c>
      <c r="E10" s="92">
        <f>Project_Start</f>
        <v>46064</v>
      </c>
      <c r="F10" s="92">
        <f>E10+58</f>
        <v>46122</v>
      </c>
      <c r="G10" s="14"/>
      <c r="H10" s="4">
        <f t="shared"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Project_Start</f>
        <v>46064</v>
      </c>
      <c r="F11" s="92">
        <f>E11+58</f>
        <v>46122</v>
      </c>
      <c r="G11" s="14"/>
      <c r="H11" s="4">
        <f t="shared"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Project_Start</f>
        <v>46064</v>
      </c>
      <c r="F12" s="92">
        <f>E12+58</f>
        <v>46122</v>
      </c>
      <c r="G12" s="14"/>
      <c r="H12" s="4">
        <f t="shared"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Project_Start</f>
        <v>46064</v>
      </c>
      <c r="F13" s="92">
        <f>E13+58</f>
        <v>46122</v>
      </c>
      <c r="G13" s="14"/>
      <c r="H13" s="4">
        <f t="shared"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53" customHeight="1" thickBot="1" x14ac:dyDescent="0.2">
      <c r="A14" s="12"/>
      <c r="B14" s="40" t="s">
        <v>41</v>
      </c>
      <c r="C14" s="41"/>
      <c r="D14" s="42">
        <v>0</v>
      </c>
      <c r="E14" s="92">
        <f>F13+1</f>
        <v>46123</v>
      </c>
      <c r="F14" s="92">
        <f>E14+14</f>
        <v>46137</v>
      </c>
      <c r="G14" s="111" t="s">
        <v>66</v>
      </c>
      <c r="H14" s="4">
        <f t="shared" si="29"/>
        <v>15</v>
      </c>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30" customHeight="1" thickBot="1" x14ac:dyDescent="0.2">
      <c r="A15" s="81"/>
      <c r="B15" s="31" t="s">
        <v>32</v>
      </c>
      <c r="C15" s="32"/>
      <c r="D15" s="33"/>
      <c r="E15" s="90"/>
      <c r="F15" s="91"/>
      <c r="G15" s="14"/>
      <c r="H15" s="4" t="str">
        <f t="shared" si="29"/>
        <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row>
    <row r="16" spans="1:92" s="35" customFormat="1" ht="30" customHeight="1" thickBot="1" x14ac:dyDescent="0.2">
      <c r="A16" s="81"/>
      <c r="B16" s="36" t="s">
        <v>35</v>
      </c>
      <c r="C16" s="37"/>
      <c r="D16" s="38">
        <v>1</v>
      </c>
      <c r="E16" s="92">
        <f>Project_Start</f>
        <v>46064</v>
      </c>
      <c r="F16" s="92">
        <f>E16+58</f>
        <v>46122</v>
      </c>
      <c r="G16" s="14"/>
      <c r="H16" s="4">
        <f t="shared" si="29"/>
        <v>59</v>
      </c>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row>
    <row r="17" spans="1:92" s="35" customFormat="1" ht="30" customHeight="1" thickBot="1" x14ac:dyDescent="0.2">
      <c r="A17" s="81"/>
      <c r="B17" s="40" t="s">
        <v>33</v>
      </c>
      <c r="C17" s="41"/>
      <c r="D17" s="42">
        <v>0</v>
      </c>
      <c r="E17" s="92">
        <f>Project_Start</f>
        <v>46064</v>
      </c>
      <c r="F17" s="92">
        <f>E17+58</f>
        <v>46122</v>
      </c>
      <c r="G17" s="14"/>
      <c r="H17" s="4">
        <f t="shared" si="29"/>
        <v>59</v>
      </c>
      <c r="I17" s="39"/>
      <c r="J17" s="39"/>
      <c r="K17" s="39"/>
      <c r="L17" s="39"/>
      <c r="M17" s="39"/>
      <c r="N17" s="39"/>
      <c r="O17" s="39"/>
      <c r="P17" s="39"/>
      <c r="Q17" s="39"/>
      <c r="R17" s="39"/>
      <c r="S17" s="39"/>
      <c r="T17" s="39"/>
      <c r="U17" s="43"/>
      <c r="V17" s="43"/>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12"/>
      <c r="B18" s="40" t="s">
        <v>34</v>
      </c>
      <c r="C18" s="41"/>
      <c r="D18" s="42">
        <v>0</v>
      </c>
      <c r="E18" s="92">
        <f>Project_Start</f>
        <v>46064</v>
      </c>
      <c r="F18" s="93">
        <f>F17</f>
        <v>46122</v>
      </c>
      <c r="G18" s="14"/>
      <c r="H18" s="4">
        <f t="shared" si="29"/>
        <v>59</v>
      </c>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81"/>
      <c r="B19" s="31" t="s">
        <v>36</v>
      </c>
      <c r="C19" s="32"/>
      <c r="D19" s="33"/>
      <c r="E19" s="90"/>
      <c r="F19" s="91"/>
      <c r="G19" s="14"/>
      <c r="H19" s="4" t="str">
        <f t="shared" ref="H19:H50" si="30">IF(OR(ISBLANK(task_start),ISBLANK(task_end)),"",task_end-task_start+1)</f>
        <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0" spans="1:92" s="35" customFormat="1" ht="30" customHeight="1" thickBot="1" x14ac:dyDescent="0.2">
      <c r="A20" s="81"/>
      <c r="B20" s="36" t="s">
        <v>37</v>
      </c>
      <c r="C20" s="37"/>
      <c r="D20" s="38">
        <v>0.15</v>
      </c>
      <c r="E20" s="92">
        <f>Project_Start</f>
        <v>46064</v>
      </c>
      <c r="F20" s="92">
        <f>E20+58</f>
        <v>46122</v>
      </c>
      <c r="G20" s="14"/>
      <c r="H20" s="4">
        <f t="shared" si="30"/>
        <v>59</v>
      </c>
      <c r="I20" s="39"/>
      <c r="J20" s="39"/>
      <c r="K20" s="39"/>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row>
    <row r="21" spans="1:92" s="35" customFormat="1" ht="30" customHeight="1" thickBot="1" x14ac:dyDescent="0.2">
      <c r="A21" s="81"/>
      <c r="B21" s="36" t="s">
        <v>63</v>
      </c>
      <c r="C21" s="37"/>
      <c r="D21" s="38"/>
      <c r="E21" s="92">
        <f>Project_Start</f>
        <v>46064</v>
      </c>
      <c r="F21" s="92">
        <f>E21+58</f>
        <v>46122</v>
      </c>
      <c r="G21" s="14"/>
      <c r="H21" s="4"/>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40" t="s">
        <v>52</v>
      </c>
      <c r="C22" s="41"/>
      <c r="D22" s="42">
        <v>0</v>
      </c>
      <c r="E22" s="92">
        <f>F21+1</f>
        <v>46123</v>
      </c>
      <c r="F22" s="93">
        <f>E22+7</f>
        <v>46130</v>
      </c>
      <c r="G22" s="14"/>
      <c r="H22" s="4">
        <f t="shared" si="30"/>
        <v>8</v>
      </c>
      <c r="I22" s="39"/>
      <c r="J22" s="39"/>
      <c r="K22" s="39"/>
      <c r="L22" s="39"/>
      <c r="M22" s="39"/>
      <c r="N22" s="39"/>
      <c r="O22" s="39"/>
      <c r="P22" s="39"/>
      <c r="Q22" s="39"/>
      <c r="R22" s="39"/>
      <c r="S22" s="39"/>
      <c r="T22" s="39"/>
      <c r="U22" s="43"/>
      <c r="V22" s="43"/>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4" t="s">
        <v>53</v>
      </c>
      <c r="C23" s="45"/>
      <c r="D23" s="46"/>
      <c r="E23" s="94"/>
      <c r="F23" s="95"/>
      <c r="G23" s="14"/>
      <c r="H23" s="4" t="str">
        <f t="shared" si="30"/>
        <v/>
      </c>
    </row>
    <row r="24" spans="1:92" s="35" customFormat="1" ht="30" customHeight="1" thickBot="1" x14ac:dyDescent="0.2">
      <c r="A24" s="81"/>
      <c r="B24" s="47" t="s">
        <v>27</v>
      </c>
      <c r="C24" s="48"/>
      <c r="D24" s="49">
        <v>0.5</v>
      </c>
      <c r="E24" s="96">
        <f>Project_Start</f>
        <v>46064</v>
      </c>
      <c r="F24" s="96">
        <f>E24+20</f>
        <v>46084</v>
      </c>
      <c r="G24" s="14"/>
      <c r="H24" s="4">
        <f t="shared" si="30"/>
        <v>21</v>
      </c>
      <c r="I24" s="39"/>
      <c r="J24" s="39"/>
      <c r="K24" s="39"/>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row>
    <row r="25" spans="1:92" s="35" customFormat="1" ht="30" customHeight="1" thickBot="1" x14ac:dyDescent="0.2">
      <c r="A25" s="12"/>
      <c r="B25" s="47" t="s">
        <v>38</v>
      </c>
      <c r="C25" s="48"/>
      <c r="D25" s="49">
        <v>1</v>
      </c>
      <c r="E25" s="96">
        <f>Project_Start</f>
        <v>46064</v>
      </c>
      <c r="F25" s="96">
        <f>E25+9</f>
        <v>46073</v>
      </c>
      <c r="G25" s="14"/>
      <c r="H25" s="4">
        <f t="shared" si="30"/>
        <v>10</v>
      </c>
      <c r="I25" s="39"/>
      <c r="J25" s="39"/>
      <c r="K25" s="39"/>
      <c r="L25" s="39"/>
      <c r="M25" s="39"/>
      <c r="N25" s="39"/>
      <c r="O25" s="39"/>
      <c r="P25" s="39"/>
      <c r="Q25" s="39"/>
      <c r="R25" s="39"/>
      <c r="S25" s="39"/>
      <c r="T25" s="39"/>
      <c r="U25" s="43"/>
      <c r="V25" s="43"/>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29</v>
      </c>
      <c r="C26" s="48"/>
      <c r="D26" s="49">
        <v>0</v>
      </c>
      <c r="E26" s="96">
        <v>46083</v>
      </c>
      <c r="F26" s="96">
        <f>E26+10</f>
        <v>46093</v>
      </c>
      <c r="G26" s="14"/>
      <c r="H26" s="4">
        <f t="shared" si="30"/>
        <v>11</v>
      </c>
      <c r="I26" s="39"/>
      <c r="J26" s="39"/>
      <c r="K26" s="39"/>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30</v>
      </c>
      <c r="C27" s="48"/>
      <c r="D27" s="49">
        <v>1</v>
      </c>
      <c r="E27" s="96">
        <f>F26+1</f>
        <v>46094</v>
      </c>
      <c r="F27" s="96">
        <f>E27+7</f>
        <v>46101</v>
      </c>
      <c r="G27" s="14"/>
      <c r="H27" s="4">
        <f t="shared" si="30"/>
        <v>8</v>
      </c>
      <c r="I27" s="39"/>
      <c r="J27" s="39"/>
      <c r="K27" s="39"/>
      <c r="L27" s="39"/>
      <c r="M27" s="39"/>
      <c r="N27" s="39"/>
      <c r="O27" s="39"/>
      <c r="P27" s="39"/>
      <c r="Q27" s="39"/>
      <c r="R27" s="39"/>
      <c r="S27" s="39"/>
      <c r="T27" s="39"/>
      <c r="U27" s="39"/>
      <c r="V27" s="39"/>
      <c r="W27" s="39"/>
      <c r="X27" s="39"/>
      <c r="Y27" s="43"/>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31</v>
      </c>
      <c r="C28" s="48"/>
      <c r="D28" s="49">
        <v>0</v>
      </c>
      <c r="E28" s="96">
        <f>E27</f>
        <v>46094</v>
      </c>
      <c r="F28" s="96">
        <f>E28+7</f>
        <v>46101</v>
      </c>
      <c r="G28" s="14"/>
      <c r="H28" s="4">
        <f t="shared" si="30"/>
        <v>8</v>
      </c>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61</v>
      </c>
      <c r="C29" s="48"/>
      <c r="D29" s="49">
        <v>1</v>
      </c>
      <c r="E29" s="96">
        <f>F27+1</f>
        <v>46102</v>
      </c>
      <c r="F29" s="96">
        <f>E29+7</f>
        <v>46109</v>
      </c>
      <c r="G29" s="14"/>
      <c r="H29" s="4"/>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39</v>
      </c>
      <c r="C30" s="48"/>
      <c r="D30" s="49">
        <v>0.5</v>
      </c>
      <c r="E30" s="96">
        <f>F28+1</f>
        <v>46102</v>
      </c>
      <c r="F30" s="96">
        <f>E30+7</f>
        <v>46109</v>
      </c>
      <c r="G30" s="14"/>
      <c r="H30" s="4">
        <f t="shared" si="30"/>
        <v>8</v>
      </c>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54</v>
      </c>
      <c r="C31" s="48"/>
      <c r="D31" s="49">
        <v>0.15</v>
      </c>
      <c r="E31" s="96">
        <f>F30+1</f>
        <v>46110</v>
      </c>
      <c r="F31" s="96">
        <f>E31+3</f>
        <v>46113</v>
      </c>
      <c r="G31" s="14"/>
      <c r="H31" s="4">
        <f t="shared" si="30"/>
        <v>4</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40</v>
      </c>
      <c r="C32" s="48"/>
      <c r="D32" s="49">
        <v>0</v>
      </c>
      <c r="E32" s="96">
        <f>F31+1</f>
        <v>46114</v>
      </c>
      <c r="F32" s="96">
        <f>E32+8</f>
        <v>46122</v>
      </c>
      <c r="G32" s="14"/>
      <c r="H32" s="4">
        <f t="shared" si="30"/>
        <v>9</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60</v>
      </c>
      <c r="C33" s="48"/>
      <c r="D33" s="49">
        <v>0</v>
      </c>
      <c r="E33" s="96">
        <f>F32+1</f>
        <v>46123</v>
      </c>
      <c r="F33" s="96">
        <f>E33+7</f>
        <v>46130</v>
      </c>
      <c r="G33" s="14"/>
      <c r="H33" s="4">
        <f t="shared" si="30"/>
        <v>8</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50" t="s">
        <v>59</v>
      </c>
      <c r="C34" s="51"/>
      <c r="D34" s="52"/>
      <c r="E34" s="97"/>
      <c r="F34" s="98"/>
      <c r="G34" s="14"/>
      <c r="H34" s="4" t="str">
        <f t="shared" si="30"/>
        <v/>
      </c>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row>
    <row r="35" spans="1:92" s="35" customFormat="1" ht="68" customHeight="1" thickBot="1" x14ac:dyDescent="0.2">
      <c r="A35" s="12"/>
      <c r="B35" s="109" t="s">
        <v>43</v>
      </c>
      <c r="C35" s="55"/>
      <c r="D35" s="56">
        <v>0.2</v>
      </c>
      <c r="E35" s="99">
        <f>Project_Start</f>
        <v>46064</v>
      </c>
      <c r="F35" s="99">
        <f>E35+14</f>
        <v>46078</v>
      </c>
      <c r="G35" s="14"/>
      <c r="H35" s="4">
        <f t="shared" si="30"/>
        <v>15</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x14ac:dyDescent="0.2">
      <c r="A36" s="12"/>
      <c r="B36" s="54" t="s">
        <v>42</v>
      </c>
      <c r="C36" s="55"/>
      <c r="D36" s="56">
        <v>0.2</v>
      </c>
      <c r="E36" s="99">
        <f>F35+1</f>
        <v>46079</v>
      </c>
      <c r="F36" s="99">
        <f>F33</f>
        <v>46130</v>
      </c>
      <c r="G36" s="14"/>
      <c r="H36" s="4">
        <f t="shared" si="30"/>
        <v>52</v>
      </c>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row>
    <row r="37" spans="1:92" s="35" customFormat="1" ht="30" customHeight="1" thickBot="1" x14ac:dyDescent="0.2">
      <c r="A37" s="12"/>
      <c r="B37" s="50" t="s">
        <v>44</v>
      </c>
      <c r="C37" s="51"/>
      <c r="D37" s="52"/>
      <c r="E37" s="97"/>
      <c r="F37" s="98"/>
      <c r="G37" s="14"/>
      <c r="H37" s="4" t="str">
        <f t="shared" si="30"/>
        <v/>
      </c>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3"/>
      <c r="BY37" s="53"/>
      <c r="BZ37" s="53"/>
      <c r="CA37" s="53"/>
      <c r="CB37" s="53"/>
      <c r="CC37" s="53"/>
      <c r="CD37" s="53"/>
      <c r="CE37" s="53"/>
      <c r="CF37" s="53"/>
      <c r="CG37" s="53"/>
      <c r="CH37" s="53"/>
      <c r="CI37" s="53"/>
      <c r="CJ37" s="53"/>
      <c r="CK37" s="53"/>
      <c r="CL37" s="53"/>
      <c r="CM37" s="53"/>
      <c r="CN37" s="53"/>
    </row>
    <row r="38" spans="1:92" s="35" customFormat="1" ht="43" thickBot="1" x14ac:dyDescent="0.2">
      <c r="A38" s="12"/>
      <c r="B38" s="109" t="s">
        <v>45</v>
      </c>
      <c r="C38" s="55"/>
      <c r="D38" s="56">
        <v>0.9</v>
      </c>
      <c r="E38" s="99">
        <f>Project_Start</f>
        <v>46064</v>
      </c>
      <c r="F38" s="99">
        <f>E38+21</f>
        <v>46085</v>
      </c>
      <c r="G38" s="111" t="s">
        <v>64</v>
      </c>
      <c r="H38" s="4">
        <f t="shared" si="30"/>
        <v>22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24" customHeight="1" thickBot="1" x14ac:dyDescent="0.2">
      <c r="A39" s="12"/>
      <c r="B39" s="109" t="s">
        <v>55</v>
      </c>
      <c r="C39" s="55"/>
      <c r="D39" s="56">
        <v>0.3</v>
      </c>
      <c r="E39" s="99">
        <f>F38</f>
        <v>46085</v>
      </c>
      <c r="F39" s="99">
        <f>F33</f>
        <v>46130</v>
      </c>
      <c r="G39" s="14"/>
      <c r="H39" s="4">
        <f t="shared" si="30"/>
        <v>46</v>
      </c>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row>
    <row r="40" spans="1:92" s="35" customFormat="1" ht="35" customHeight="1" thickBot="1" x14ac:dyDescent="0.2">
      <c r="A40" s="12"/>
      <c r="B40" s="54" t="s">
        <v>65</v>
      </c>
      <c r="C40" s="55"/>
      <c r="D40" s="56">
        <v>1</v>
      </c>
      <c r="E40" s="99">
        <f>F38</f>
        <v>46085</v>
      </c>
      <c r="F40" s="99">
        <f>F33</f>
        <v>46130</v>
      </c>
      <c r="G40" s="14"/>
      <c r="H40" s="4"/>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30" customHeight="1" thickBot="1" x14ac:dyDescent="0.2">
      <c r="A41" s="12"/>
      <c r="B41" s="54" t="s">
        <v>56</v>
      </c>
      <c r="C41" s="55"/>
      <c r="D41" s="56">
        <v>0</v>
      </c>
      <c r="E41" s="99"/>
      <c r="F41" s="99"/>
      <c r="G41" s="14"/>
      <c r="H41" s="4" t="str">
        <f t="shared" si="30"/>
        <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0" customHeight="1" thickBot="1" x14ac:dyDescent="0.2">
      <c r="A42" s="12"/>
      <c r="B42" s="57" t="s">
        <v>46</v>
      </c>
      <c r="C42" s="58"/>
      <c r="D42" s="59"/>
      <c r="E42" s="100"/>
      <c r="F42" s="101"/>
      <c r="G42" s="14"/>
      <c r="H42" s="4" t="str">
        <f t="shared" si="30"/>
        <v/>
      </c>
      <c r="I42" s="60"/>
      <c r="J42" s="60"/>
      <c r="K42" s="60"/>
      <c r="L42" s="60"/>
      <c r="M42" s="60"/>
      <c r="N42" s="60"/>
      <c r="O42" s="60"/>
      <c r="P42" s="60"/>
      <c r="Q42" s="60"/>
      <c r="R42" s="60"/>
      <c r="S42" s="60"/>
      <c r="T42" s="60"/>
      <c r="U42" s="60"/>
      <c r="V42" s="60"/>
      <c r="W42" s="60"/>
      <c r="X42" s="60"/>
      <c r="Y42" s="60"/>
      <c r="Z42" s="60"/>
      <c r="AA42" s="60"/>
      <c r="AB42" s="60"/>
      <c r="AC42" s="60"/>
      <c r="AD42" s="60"/>
      <c r="AE42" s="60"/>
      <c r="AF42" s="60"/>
      <c r="AG42" s="60"/>
      <c r="AH42" s="60"/>
      <c r="AI42" s="60"/>
      <c r="AJ42" s="60"/>
      <c r="AK42" s="60"/>
      <c r="AL42" s="60"/>
      <c r="AM42" s="60"/>
      <c r="AN42" s="60"/>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c r="BU42" s="60"/>
      <c r="BV42" s="60"/>
      <c r="BW42" s="60"/>
      <c r="BX42" s="60"/>
      <c r="BY42" s="60"/>
      <c r="BZ42" s="60"/>
      <c r="CA42" s="60"/>
      <c r="CB42" s="60"/>
      <c r="CC42" s="60"/>
      <c r="CD42" s="60"/>
      <c r="CE42" s="60"/>
      <c r="CF42" s="60"/>
      <c r="CG42" s="60"/>
      <c r="CH42" s="60"/>
      <c r="CI42" s="60"/>
      <c r="CJ42" s="60"/>
      <c r="CK42" s="60"/>
      <c r="CL42" s="60"/>
      <c r="CM42" s="60"/>
      <c r="CN42" s="60"/>
    </row>
    <row r="43" spans="1:92" s="35" customFormat="1" ht="30" customHeight="1" thickBot="1" x14ac:dyDescent="0.2">
      <c r="A43" s="12"/>
      <c r="B43" s="61" t="s">
        <v>58</v>
      </c>
      <c r="C43" s="62"/>
      <c r="D43" s="63">
        <v>90</v>
      </c>
      <c r="E43" s="102">
        <f>E35</f>
        <v>46064</v>
      </c>
      <c r="F43" s="102">
        <f>E47-3</f>
        <v>46157</v>
      </c>
      <c r="G43" s="14"/>
      <c r="H43" s="4">
        <f t="shared" si="30"/>
        <v>94</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x14ac:dyDescent="0.2">
      <c r="A44" s="12"/>
      <c r="B44" s="61" t="s">
        <v>51</v>
      </c>
      <c r="C44" s="62"/>
      <c r="D44" s="63">
        <v>0.9</v>
      </c>
      <c r="E44" s="102">
        <v>46146</v>
      </c>
      <c r="F44" s="102">
        <f>E44+7</f>
        <v>46153</v>
      </c>
      <c r="G44" s="14"/>
      <c r="H44" s="4">
        <f t="shared" si="30"/>
        <v>8</v>
      </c>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row>
    <row r="45" spans="1:92" s="35" customFormat="1" ht="30" customHeight="1" thickBot="1" x14ac:dyDescent="0.2">
      <c r="A45" s="12"/>
      <c r="B45" s="61" t="s">
        <v>47</v>
      </c>
      <c r="C45" s="62"/>
      <c r="D45" s="63">
        <v>0</v>
      </c>
      <c r="E45" s="102">
        <v>46146</v>
      </c>
      <c r="F45" s="102">
        <f>E45+7</f>
        <v>46153</v>
      </c>
      <c r="G45" s="14"/>
      <c r="H45" s="4">
        <f t="shared" si="30"/>
        <v>8</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48</v>
      </c>
      <c r="C46" s="62"/>
      <c r="D46" s="63">
        <v>0</v>
      </c>
      <c r="E46" s="102">
        <f>F45</f>
        <v>46153</v>
      </c>
      <c r="F46" s="102">
        <f>E46+7</f>
        <v>46160</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49</v>
      </c>
      <c r="C47" s="62"/>
      <c r="D47" s="63">
        <v>0</v>
      </c>
      <c r="E47" s="102">
        <f>F46</f>
        <v>46160</v>
      </c>
      <c r="F47" s="102">
        <f>E47+7</f>
        <v>46167</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50</v>
      </c>
      <c r="C48" s="62"/>
      <c r="D48" s="63">
        <v>0</v>
      </c>
      <c r="E48" s="102">
        <f>F47</f>
        <v>46167</v>
      </c>
      <c r="F48" s="102">
        <f>E48+14</f>
        <v>46181</v>
      </c>
      <c r="G48" s="14"/>
      <c r="H48" s="4">
        <f t="shared" si="30"/>
        <v>15</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4" t="s">
        <v>57</v>
      </c>
      <c r="C49" s="65"/>
      <c r="D49" s="66"/>
      <c r="E49" s="103"/>
      <c r="F49" s="103"/>
      <c r="G49" s="14"/>
      <c r="H49" s="4" t="str">
        <f t="shared" si="30"/>
        <v/>
      </c>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row>
    <row r="50" spans="1:92" s="35" customFormat="1" ht="30" customHeight="1" thickBot="1" x14ac:dyDescent="0.2">
      <c r="A50" s="81"/>
      <c r="B50" s="67" t="s">
        <v>11</v>
      </c>
      <c r="C50" s="68"/>
      <c r="D50" s="69"/>
      <c r="E50" s="104"/>
      <c r="F50" s="105"/>
      <c r="G50" s="14"/>
      <c r="H50" s="5" t="str">
        <f t="shared" si="30"/>
        <v/>
      </c>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0"/>
      <c r="BX50" s="70"/>
      <c r="BY50" s="70"/>
      <c r="BZ50" s="70"/>
      <c r="CA50" s="70"/>
      <c r="CB50" s="70"/>
      <c r="CC50" s="70"/>
      <c r="CD50" s="70"/>
      <c r="CE50" s="70"/>
      <c r="CF50" s="70"/>
      <c r="CG50" s="70"/>
      <c r="CH50" s="70"/>
      <c r="CI50" s="70"/>
      <c r="CJ50" s="70"/>
      <c r="CK50" s="70"/>
      <c r="CL50" s="70"/>
      <c r="CM50" s="70"/>
      <c r="CN50" s="70"/>
    </row>
    <row r="51" spans="1:92" ht="30" customHeight="1" x14ac:dyDescent="0.15">
      <c r="G51" s="2"/>
    </row>
    <row r="52" spans="1:92" ht="30" customHeight="1" x14ac:dyDescent="0.15">
      <c r="C52" s="13"/>
      <c r="F52" s="108"/>
    </row>
    <row r="53" spans="1:92" ht="30" customHeight="1" x14ac:dyDescent="0.15">
      <c r="C53" s="3"/>
    </row>
  </sheetData>
  <mergeCells count="22">
    <mergeCell ref="F5:F6"/>
    <mergeCell ref="A5:A6"/>
    <mergeCell ref="B5:B6"/>
    <mergeCell ref="C5:C6"/>
    <mergeCell ref="D5:D6"/>
    <mergeCell ref="E5:E6"/>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s>
  <conditionalFormatting sqref="D7:D50">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4:BK31 I32:BM33">
    <cfRule type="expression" dxfId="44" priority="84" stopIfTrue="1">
      <formula>AND(task_end&gt;=I$5,task_start&lt;J$5)</formula>
    </cfRule>
  </conditionalFormatting>
  <conditionalFormatting sqref="I33:BK44 I4:BK8 I9:BZ10 BL14 I14:BK16 I19:BK21 I23:BK31 I32:BM32 BL33:BM33 BL36 BL40:BZ40 BL43:CA43 BL44:BM44 I45:BM45 I47:BK48">
    <cfRule type="expression" dxfId="43" priority="80">
      <formula>AND(TODAY()&gt;=I$5, TODAY()&lt;J$5)</formula>
    </cfRule>
  </conditionalFormatting>
  <conditionalFormatting sqref="I35:BK36 BL36 I39:BK41 BL40:BZ40">
    <cfRule type="expression" dxfId="42" priority="82" stopIfTrue="1">
      <formula>AND(task_end&gt;=I$5,task_start&lt;J$5)</formula>
    </cfRule>
  </conditionalFormatting>
  <conditionalFormatting sqref="I38:BK38">
    <cfRule type="expression" dxfId="41" priority="22" stopIfTrue="1">
      <formula>AND(task_end&gt;=I$5,task_start&lt;J$5)</formula>
    </cfRule>
  </conditionalFormatting>
  <conditionalFormatting sqref="I9:BZ10 I14:BL14 I16:BL16 I20:CC21">
    <cfRule type="expression" dxfId="40" priority="86" stopIfTrue="1">
      <formula>AND(task_end&gt;=I$5,task_start&lt;J$5)</formula>
    </cfRule>
  </conditionalFormatting>
  <conditionalFormatting sqref="I9:CN14 I16:CN18 I20:CN22">
    <cfRule type="expression" dxfId="39" priority="28">
      <formula>AND(task_start&lt;=I$5,ROUNDDOWN((task_end-task_start+1)*task_progress,0)+task_start-1&gt;=I$5)</formula>
    </cfRule>
  </conditionalFormatting>
  <conditionalFormatting sqref="I24:CN33">
    <cfRule type="expression" dxfId="38" priority="26">
      <formula>AND(task_start&lt;=I$5,ROUNDDOWN((task_end-task_start+1)*task_progress,0)+task_start-1&gt;=I$5)</formula>
    </cfRule>
  </conditionalFormatting>
  <conditionalFormatting sqref="I35:CN36">
    <cfRule type="expression" dxfId="37" priority="24">
      <formula>AND(task_start&lt;=I$5,ROUNDDOWN((task_end-task_start+1)*task_progress,0)+task_start-1&gt;=I$5)</formula>
    </cfRule>
  </conditionalFormatting>
  <conditionalFormatting sqref="I38:CN41">
    <cfRule type="expression" dxfId="36" priority="15">
      <formula>AND(task_start&lt;=I$5,ROUNDDOWN((task_end-task_start+1)*task_progress,0)+task_start-1&gt;=I$5)</formula>
    </cfRule>
  </conditionalFormatting>
  <conditionalFormatting sqref="BL24:BL31 BS24:BS31 BZ24:BZ32 CG24:CG33 CN24:CN33 BS33">
    <cfRule type="expression" dxfId="35" priority="121" stopIfTrue="1">
      <formula>AND(task_end&gt;=BL$5,task_start&lt;#REF!)</formula>
    </cfRule>
  </conditionalFormatting>
  <conditionalFormatting sqref="BL35 BS35 BZ35 CG35:CG36 CN35:CN36 BL38 BS38 BZ38 CG38:CG41 CN38:CN41 BL41 BS41 BZ41">
    <cfRule type="expression" dxfId="34" priority="123" stopIfTrue="1">
      <formula>AND(task_end&gt;=BL$5,task_start&lt;#REF!)</formula>
    </cfRule>
  </conditionalFormatting>
  <conditionalFormatting sqref="BL43:CA43 I43:BK44 BL44:BM44 I45:BM45 I47:BK48">
    <cfRule type="expression" dxfId="33" priority="116" stopIfTrue="1">
      <formula>AND(task_end&gt;=I$5,task_start&lt;J$5)</formula>
    </cfRule>
    <cfRule type="expression" dxfId="32" priority="115">
      <formula>AND(task_start&lt;=I$5,ROUNDDOWN((task_end-task_start+1)*task_progress,0)+task_start-1&gt;=I$5)</formula>
    </cfRule>
  </conditionalFormatting>
  <conditionalFormatting sqref="BM24:BR31 BN32:BS33">
    <cfRule type="expression" dxfId="31" priority="45" stopIfTrue="1">
      <formula>AND(task_end&gt;=BM$5,task_start&lt;BN$5)</formula>
    </cfRule>
  </conditionalFormatting>
  <conditionalFormatting sqref="BM35:BR36 BM41:BR41">
    <cfRule type="expression" dxfId="30" priority="43" stopIfTrue="1">
      <formula>AND(task_end&gt;=BM$5,task_start&lt;BN$5)</formula>
    </cfRule>
  </conditionalFormatting>
  <conditionalFormatting sqref="BM38:BR38">
    <cfRule type="expression" dxfId="29" priority="20" stopIfTrue="1">
      <formula>AND(task_end&gt;=BM$5,task_start&lt;BN$5)</formula>
    </cfRule>
  </conditionalFormatting>
  <conditionalFormatting sqref="BM14:BT14">
    <cfRule type="expression" dxfId="28" priority="47" stopIfTrue="1">
      <formula>AND(task_end&gt;=BM$5,task_start&lt;BN$5)</formula>
    </cfRule>
  </conditionalFormatting>
  <conditionalFormatting sqref="BN44:BT45 I46:BT46">
    <cfRule type="expression" dxfId="27" priority="49" stopIfTrue="1">
      <formula>AND(task_end&gt;=I$5,task_start&lt;J$5)</formula>
    </cfRule>
    <cfRule type="expression" dxfId="26" priority="48">
      <formula>AND(task_start&lt;=I$5,ROUNDDOWN((task_end-task_start+1)*task_progress,0)+task_start-1&gt;=I$5)</formula>
    </cfRule>
  </conditionalFormatting>
  <conditionalFormatting sqref="BS14:BS15 BS33:BS35 BL4:BL8 BS4:BS8 BZ4:BZ8 CG4:CG42 CN4:CN48 BL15 BZ15 BL19 BS19 BZ19 BL23:BL31 BS23:BS31 BZ23:BZ32 BL34:BL35 BZ34:BZ35 BL37:BL38 BS37:BS38 BZ37:BZ38 BL41:BL42 BS41:BS42 BZ41:BZ42 CG44:CG47 BL47">
    <cfRule type="expression" dxfId="25" priority="117">
      <formula>AND(TODAY()&gt;=BL$5, TODAY()&lt;#REF!)</formula>
    </cfRule>
  </conditionalFormatting>
  <conditionalFormatting sqref="BS14:BT14 BM34:BR38 BM4:BR8 BM14:BR15 BM19:BR19 BM23:BR31 BN32:BS33 BM41:BR42 BN44:BT45 I46:BT46">
    <cfRule type="expression" dxfId="24" priority="41">
      <formula>AND(TODAY()&gt;=I$5, TODAY()&lt;J$5)</formula>
    </cfRule>
  </conditionalFormatting>
  <conditionalFormatting sqref="BT24:BY33">
    <cfRule type="expression" dxfId="23" priority="36" stopIfTrue="1">
      <formula>AND(task_end&gt;=BT$5,task_start&lt;BU$5)</formula>
    </cfRule>
  </conditionalFormatting>
  <conditionalFormatting sqref="BT35:BY35 BT41:BY41">
    <cfRule type="expression" dxfId="22" priority="34" stopIfTrue="1">
      <formula>AND(task_end&gt;=BT$5,task_start&lt;BU$5)</formula>
    </cfRule>
  </conditionalFormatting>
  <conditionalFormatting sqref="BT37:BY38 BT4:BY8 BZ14 BT14:BY15 BT19:BY19 BT23:BY35 BT41:BY42 BU44:CA44">
    <cfRule type="expression" dxfId="21" priority="32">
      <formula>AND(TODAY()&gt;=BT$5, TODAY()&lt;BU$5)</formula>
    </cfRule>
  </conditionalFormatting>
  <conditionalFormatting sqref="BT38:BY38">
    <cfRule type="expression" dxfId="20" priority="18" stopIfTrue="1">
      <formula>AND(task_end&gt;=BT$5,task_start&lt;BU$5)</formula>
    </cfRule>
  </conditionalFormatting>
  <conditionalFormatting sqref="BT14:BZ14">
    <cfRule type="expression" dxfId="19" priority="38" stopIfTrue="1">
      <formula>AND(task_end&gt;=BT$5,task_start&lt;BU$5)</formula>
    </cfRule>
  </conditionalFormatting>
  <conditionalFormatting sqref="BU44:CA44">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3 CA14:CF14 BM16:CF16 I17:CF18 CD20:CF21 I22:CF22">
    <cfRule type="expression" dxfId="16" priority="29" stopIfTrue="1">
      <formula>AND(task_end&gt;=I$5,task_start&lt;J$5)</formula>
    </cfRule>
  </conditionalFormatting>
  <conditionalFormatting sqref="CA24:CF32 BZ33:CF33">
    <cfRule type="expression" dxfId="15" priority="27" stopIfTrue="1">
      <formula>AND(task_end&gt;=BZ$5,task_start&lt;CA$5)</formula>
    </cfRule>
  </conditionalFormatting>
  <conditionalFormatting sqref="CA35:CF35 BS36:CF36 BL39:CF39 CA40:CF41">
    <cfRule type="expression" dxfId="14" priority="25" stopIfTrue="1">
      <formula>AND(task_end&gt;=BL$5,task_start&lt;BM$5)</formula>
    </cfRule>
  </conditionalFormatting>
  <conditionalFormatting sqref="CA37:CF38 CA4:CF10 I11:CF13 CA14:CF15 BL16:CF16 I17:CF18 CA19:CF19 BL20:CF21 I22:CF22 CA23:CF32 BZ33:CF33 CA34:CF35 BS36:CF36 BL39:CF39 CA40:CF42 CB43:CF44 BU45:CF46 BM47:CF47">
    <cfRule type="expression" dxfId="13" priority="23">
      <formula>AND(TODAY()&gt;=I$5, TODAY()&lt;J$5)</formula>
    </cfRule>
  </conditionalFormatting>
  <conditionalFormatting sqref="CA38:CF38">
    <cfRule type="expression" dxfId="12" priority="16" stopIfTrue="1">
      <formula>AND(task_end&gt;=CA$5,task_start&lt;CB$5)</formula>
    </cfRule>
  </conditionalFormatting>
  <conditionalFormatting sqref="CB43:CF44 BU45:CF46 BM47:CF47">
    <cfRule type="expression" dxfId="11" priority="31" stopIfTrue="1">
      <formula>AND(task_end&gt;=BM$5,task_start&lt;BN$5)</formula>
    </cfRule>
    <cfRule type="expression" dxfId="10" priority="30">
      <formula>AND(task_start&lt;=BM$5,ROUNDDOWN((task_end-task_start+1)*task_progress,0)+task_start-1&gt;=BM$5)</formula>
    </cfRule>
  </conditionalFormatting>
  <conditionalFormatting sqref="CG9:CG14 CN9:CN14 BS14 CG16:CG18 CN16:CN18 CG20:CG22 CN20:CN22">
    <cfRule type="expression" dxfId="9" priority="119" stopIfTrue="1">
      <formula>AND(task_end&gt;=BS$5,task_start&lt;#REF!)</formula>
    </cfRule>
  </conditionalFormatting>
  <conditionalFormatting sqref="CG43:CM43 CH44:CM47 BL48:CM48">
    <cfRule type="expression" dxfId="8" priority="7" stopIfTrue="1">
      <formula>AND(task_end&gt;=BL$5,task_start&lt;BM$5)</formula>
    </cfRule>
    <cfRule type="expression" dxfId="7" priority="6">
      <formula>AND(task_start&lt;=BL$5,ROUNDDOWN((task_end-task_start+1)*task_progress,0)+task_start-1&gt;=BL$5)</formula>
    </cfRule>
  </conditionalFormatting>
  <conditionalFormatting sqref="CH4:CM42 CG43:CM43 CH44:CM47 BL48:CM48">
    <cfRule type="expression" dxfId="6" priority="2">
      <formula>AND(TODAY()&gt;=BL$5, TODAY()&lt;BM$5)</formula>
    </cfRule>
  </conditionalFormatting>
  <conditionalFormatting sqref="CH9:CM14 CH16:CM18 CH20:CM22">
    <cfRule type="expression" dxfId="5" priority="5" stopIfTrue="1">
      <formula>AND(task_end&gt;=CH$5,task_start&lt;CI$5)</formula>
    </cfRule>
  </conditionalFormatting>
  <conditionalFormatting sqref="CH24:CM33">
    <cfRule type="expression" dxfId="4" priority="4" stopIfTrue="1">
      <formula>AND(task_end&gt;=CH$5,task_start&lt;CI$5)</formula>
    </cfRule>
  </conditionalFormatting>
  <conditionalFormatting sqref="CH35:CM36 CH39:CM41">
    <cfRule type="expression" dxfId="3" priority="3" stopIfTrue="1">
      <formula>AND(task_end&gt;=CH$5,task_start&lt;CI$5)</formula>
    </cfRule>
  </conditionalFormatting>
  <conditionalFormatting sqref="CH38:CM38">
    <cfRule type="expression" dxfId="2" priority="1" stopIfTrue="1">
      <formula>AND(task_end&gt;=CH$5,task_start&lt;CI$5)</formula>
    </cfRule>
  </conditionalFormatting>
  <conditionalFormatting sqref="CN43:CN48 CG44:CG47 BL47">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19 A8 A15"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0:A21 A9 A16"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2 A10 A17"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3" xr:uid="{4F48FC41-E335-47F1-87AA-3333A52AD81C}"/>
    <dataValidation allowBlank="1" showInputMessage="1" showErrorMessage="1" prompt="Phase 3's sample block starts in cell B20." sqref="A34 A37" xr:uid="{956902D1-D3B5-416D-BB69-9362D193BC0A}"/>
    <dataValidation allowBlank="1" showInputMessage="1" showErrorMessage="1" prompt="Phase 4's sample block starts in cell B26." sqref="A42"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0"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245281-08F3-4104-84BD-39F3D8CFB19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2026-03-10T12:19:07Z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