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61" documentId="8_{E97B7BBA-A1CF-CA4D-89B6-D5BE4B7D4A10}" xr6:coauthVersionLast="47" xr6:coauthVersionMax="47" xr10:uidLastSave="{0FEBFA8E-BC5A-9546-AE4F-9B12AC029CA2}"/>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1" l="1"/>
  <c r="E33" i="11"/>
  <c r="H33" i="11" s="1"/>
  <c r="H42" i="11" l="1"/>
  <c r="F46" i="11"/>
  <c r="E47" i="11" s="1"/>
  <c r="F47" i="11" s="1"/>
  <c r="E48" i="11" s="1"/>
  <c r="F45" i="11"/>
  <c r="F26" i="11"/>
  <c r="E27" i="11" s="1"/>
  <c r="H38" i="11"/>
  <c r="H15" i="11"/>
  <c r="H8" i="11"/>
  <c r="H7" i="11"/>
  <c r="F44" i="11" l="1"/>
  <c r="F48" i="11"/>
  <c r="E49" i="11" s="1"/>
  <c r="F49" i="11" s="1"/>
  <c r="E28" i="11"/>
  <c r="F28" i="11" s="1"/>
  <c r="E30" i="11" s="1"/>
  <c r="F30" i="11" s="1"/>
  <c r="E31" i="11" s="1"/>
  <c r="F27" i="11"/>
  <c r="E29" i="11" s="1"/>
  <c r="F29" i="11" s="1"/>
  <c r="E39" i="11" l="1"/>
  <c r="F39" i="11" s="1"/>
  <c r="E41" i="11" s="1"/>
  <c r="E18" i="11"/>
  <c r="E36" i="11"/>
  <c r="F36" i="11" s="1"/>
  <c r="E21" i="11"/>
  <c r="F21" i="11" s="1"/>
  <c r="E22" i="11" s="1"/>
  <c r="F22" i="11" s="1"/>
  <c r="E25" i="11"/>
  <c r="F25" i="11" s="1"/>
  <c r="E13" i="11"/>
  <c r="F13" i="11" s="1"/>
  <c r="E14" i="11" s="1"/>
  <c r="F14" i="11" s="1"/>
  <c r="E17" i="11"/>
  <c r="F17" i="11" s="1"/>
  <c r="F18" i="11" s="1"/>
  <c r="E10" i="11"/>
  <c r="F10" i="11" s="1"/>
  <c r="E11" i="11"/>
  <c r="F11" i="11" s="1"/>
  <c r="E12" i="11"/>
  <c r="F12" i="11" s="1"/>
  <c r="E9" i="11"/>
  <c r="F9" i="11" s="1"/>
  <c r="E24" i="11"/>
  <c r="F24" i="11" s="1"/>
  <c r="E16" i="11"/>
  <c r="F16" i="11" s="1"/>
  <c r="E20" i="11"/>
  <c r="F20" i="11" s="1"/>
  <c r="I5" i="11"/>
  <c r="H51" i="11"/>
  <c r="H50" i="11"/>
  <c r="H43" i="11"/>
  <c r="H35" i="11"/>
  <c r="H23" i="11"/>
  <c r="H19" i="11"/>
  <c r="E44" i="11" l="1"/>
  <c r="H39" i="11"/>
  <c r="E40" i="11"/>
  <c r="E37" i="11"/>
  <c r="H20" i="11"/>
  <c r="H28" i="11"/>
  <c r="H16" i="11"/>
  <c r="I6" i="11"/>
  <c r="H45" i="11" l="1"/>
  <c r="H48" i="11"/>
  <c r="H13" i="11"/>
  <c r="H36" i="11"/>
  <c r="H30" i="11"/>
  <c r="H18" i="11"/>
  <c r="H17" i="11"/>
  <c r="H9" i="11"/>
  <c r="H22" i="11"/>
  <c r="H24" i="11"/>
  <c r="J5" i="11"/>
  <c r="K5" i="11" s="1"/>
  <c r="L5" i="11" s="1"/>
  <c r="M5" i="11" s="1"/>
  <c r="N5" i="11" s="1"/>
  <c r="O5" i="11" s="1"/>
  <c r="P5" i="11" s="1"/>
  <c r="I4" i="11"/>
  <c r="H49" i="11" l="1"/>
  <c r="H47" i="11"/>
  <c r="H14" i="11"/>
  <c r="H10" i="11"/>
  <c r="H25" i="11"/>
  <c r="P4" i="11"/>
  <c r="Q5" i="11"/>
  <c r="R5" i="11" s="1"/>
  <c r="S5" i="11" s="1"/>
  <c r="T5" i="11" s="1"/>
  <c r="U5" i="11" s="1"/>
  <c r="V5" i="11" s="1"/>
  <c r="W5" i="11" s="1"/>
  <c r="J6" i="11"/>
  <c r="H46" i="11" l="1"/>
  <c r="H44"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4" i="11"/>
  <c r="F34" i="11" s="1"/>
  <c r="H31" i="11"/>
  <c r="AK5" i="11"/>
  <c r="AL5" i="11" s="1"/>
  <c r="AM5" i="11" s="1"/>
  <c r="AN5" i="11" s="1"/>
  <c r="AO5" i="11" s="1"/>
  <c r="AP5" i="11" s="1"/>
  <c r="AQ5" i="11" s="1"/>
  <c r="M6" i="11"/>
  <c r="F40" i="11" l="1"/>
  <c r="H40" i="11" s="1"/>
  <c r="F41" i="11"/>
  <c r="F37" i="11"/>
  <c r="H37" i="11" s="1"/>
  <c r="H34"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<sst xmlns="http://schemas.openxmlformats.org/spreadsheetml/2006/main" count="71" uniqueCount="67">
  <si>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</si>
  <si>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</si>
  <si>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</si>
  <si>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</si>
  <si>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</si>
  <si>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</si>
  <si>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</si>
  <si>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</si>
  <si>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</si>
  <si>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</si>
  <si>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</si>
  <si>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</si>
  <si>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</si>
  <si>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</si>
  <si>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</si>
  <si>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</si>
  <si>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</si>
  <si>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</si>
  <si>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</si>
  <si>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</si>
  <si>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</si>
  <si>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</si>
  <si>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</si>
  <si>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</si>
  <si>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</si>
  <si>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</si>
  <si>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</si>
  <si>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</si>
  <si>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</si>
  <si>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</si>
  <si>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</si>
  <si>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</si>
  <si>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</si>
  <si>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</si>
  <si>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</si>
  <si>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</si>
  <si>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</si>
  <si>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</si>
  <si>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</si>
  <si>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</si>
  <si>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</si>
  <si>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</si>
  <si>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</si>
  <si>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</si>
  <si>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</si>
  <si>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</si>
  <si>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</si>
  <si>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</si>
  <si>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</si>
  <si>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</si>
  <si>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</si>
  <si>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</si>
  <si>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</si>
  <si>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</si>
  <si>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</si>
  <si>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</si>
  <si>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</si>
  <si>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</si>
  <si>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</si>
  <si>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</si>
  <si>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</si>
  <si>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</si>
  <si>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</si>
  <si>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</si>
  <si>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</si>
  <si>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</si>
  <si>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Relative scenario and baseline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</si>
</sst>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4"/>
  <sheetViews>
    <sheetView showGridLines="0" tabSelected="1" showRuler="0" topLeftCell="A18" zoomScale="88" zoomScaleNormal="88" zoomScalePageLayoutView="70" workbookViewId="0">
      <selection activeCell="G33" sqref="G33"/>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6" t="s">
        <v>0</v>
      </c>
      <c r="J1" s="127"/>
      <c r="K1" s="127"/>
      <c r="L1" s="127"/>
      <c r="M1" s="127"/>
      <c r="N1" s="127"/>
      <c r="O1" s="127"/>
      <c r="P1" s="18"/>
      <c r="Q1" s="124">
        <v>46064</v>
      </c>
      <c r="R1" s="125"/>
      <c r="S1" s="125"/>
      <c r="T1" s="125"/>
      <c r="U1" s="125"/>
      <c r="V1" s="125"/>
      <c r="W1" s="125"/>
      <c r="X1" s="125"/>
      <c r="Y1" s="125"/>
      <c r="Z1" s="125"/>
    </row>
    <row r="2" spans="1:92" ht="30" customHeight="1" x14ac:dyDescent="0.4">
      <c r="B2" s="71"/>
      <c r="C2" s="72" t="s">
        <v>1</v>
      </c>
      <c r="D2" s="17"/>
      <c r="E2" s="84"/>
      <c r="F2" s="85"/>
      <c r="I2" s="126" t="s">
        <v>2</v>
      </c>
      <c r="J2" s="127"/>
      <c r="K2" s="127"/>
      <c r="L2" s="127"/>
      <c r="M2" s="127"/>
      <c r="N2" s="127"/>
      <c r="O2" s="127"/>
      <c r="P2" s="18"/>
      <c r="Q2" s="122">
        <v>5</v>
      </c>
      <c r="R2" s="123"/>
      <c r="S2" s="123"/>
      <c r="T2" s="123"/>
      <c r="U2" s="123"/>
      <c r="V2" s="123"/>
      <c r="W2" s="123"/>
      <c r="X2" s="123"/>
      <c r="Y2" s="123"/>
      <c r="Z2" s="123"/>
      <c r="AP2" t="s">
        <v>62</v>
      </c>
    </row>
    <row r="3" spans="1:92" s="20" customFormat="1" ht="30" customHeight="1" x14ac:dyDescent="0.15">
      <c r="A3" s="12"/>
      <c r="B3" s="19"/>
      <c r="D3" s="21"/>
      <c r="E3" s="86"/>
      <c r="F3" s="87"/>
    </row>
    <row r="4" spans="1:92" s="20" customFormat="1" ht="30" customHeight="1" x14ac:dyDescent="0.15">
      <c r="A4" s="81"/>
      <c r="B4" s="110" t="s">
        <v>4</v>
      </c>
      <c r="E4" s="88"/>
      <c r="F4" s="87"/>
      <c r="I4" s="128">
        <f>I5</f>
        <v>46090</v>
      </c>
      <c r="J4" s="120"/>
      <c r="K4" s="120"/>
      <c r="L4" s="120"/>
      <c r="M4" s="120"/>
      <c r="N4" s="120"/>
      <c r="O4" s="120"/>
      <c r="P4" s="120">
        <f>P5</f>
        <v>46097</v>
      </c>
      <c r="Q4" s="120"/>
      <c r="R4" s="120"/>
      <c r="S4" s="120"/>
      <c r="T4" s="120"/>
      <c r="U4" s="120"/>
      <c r="V4" s="120"/>
      <c r="W4" s="120">
        <f>W5</f>
        <v>46104</v>
      </c>
      <c r="X4" s="120"/>
      <c r="Y4" s="120"/>
      <c r="Z4" s="120"/>
      <c r="AA4" s="120"/>
      <c r="AB4" s="120"/>
      <c r="AC4" s="120"/>
      <c r="AD4" s="120">
        <f>AD5</f>
        <v>46111</v>
      </c>
      <c r="AE4" s="120"/>
      <c r="AF4" s="120"/>
      <c r="AG4" s="120"/>
      <c r="AH4" s="120"/>
      <c r="AI4" s="120"/>
      <c r="AJ4" s="120"/>
      <c r="AK4" s="120">
        <f>AK5</f>
        <v>46118</v>
      </c>
      <c r="AL4" s="120"/>
      <c r="AM4" s="120"/>
      <c r="AN4" s="120"/>
      <c r="AO4" s="120"/>
      <c r="AP4" s="120"/>
      <c r="AQ4" s="120"/>
      <c r="AR4" s="120">
        <f>AR5</f>
        <v>46125</v>
      </c>
      <c r="AS4" s="120"/>
      <c r="AT4" s="120"/>
      <c r="AU4" s="120"/>
      <c r="AV4" s="120"/>
      <c r="AW4" s="120"/>
      <c r="AX4" s="120"/>
      <c r="AY4" s="120">
        <f>AY5</f>
        <v>46132</v>
      </c>
      <c r="AZ4" s="120"/>
      <c r="BA4" s="120"/>
      <c r="BB4" s="120"/>
      <c r="BC4" s="120"/>
      <c r="BD4" s="120"/>
      <c r="BE4" s="120"/>
      <c r="BF4" s="120">
        <f>BF5</f>
        <v>46139</v>
      </c>
      <c r="BG4" s="120"/>
      <c r="BH4" s="120"/>
      <c r="BI4" s="120"/>
      <c r="BJ4" s="120"/>
      <c r="BK4" s="120"/>
      <c r="BL4" s="121"/>
      <c r="BM4" s="120">
        <f>BM5</f>
        <v>46146</v>
      </c>
      <c r="BN4" s="120"/>
      <c r="BO4" s="120"/>
      <c r="BP4" s="120"/>
      <c r="BQ4" s="120"/>
      <c r="BR4" s="120"/>
      <c r="BS4" s="121"/>
      <c r="BT4" s="120">
        <f>BT5</f>
        <v>46153</v>
      </c>
      <c r="BU4" s="120"/>
      <c r="BV4" s="120"/>
      <c r="BW4" s="120"/>
      <c r="BX4" s="120"/>
      <c r="BY4" s="120"/>
      <c r="BZ4" s="121"/>
      <c r="CA4" s="120">
        <f>CA5</f>
        <v>46160</v>
      </c>
      <c r="CB4" s="120"/>
      <c r="CC4" s="120"/>
      <c r="CD4" s="120"/>
      <c r="CE4" s="120"/>
      <c r="CF4" s="120"/>
      <c r="CG4" s="121"/>
      <c r="CH4" s="120">
        <f>CH5</f>
        <v>46167</v>
      </c>
      <c r="CI4" s="120"/>
      <c r="CJ4" s="120"/>
      <c r="CK4" s="120"/>
      <c r="CL4" s="120"/>
      <c r="CM4" s="120"/>
      <c r="CN4" s="121"/>
    </row>
    <row r="5" spans="1:92" s="20" customFormat="1" ht="15" customHeight="1" x14ac:dyDescent="0.15">
      <c r="A5" s="114"/>
      <c r="B5" s="115" t="s">
        <v>5</v>
      </c>
      <c r="C5" s="117" t="s">
        <v>6</v>
      </c>
      <c r="D5" s="119" t="s">
        <v>7</v>
      </c>
      <c r="E5" s="112" t="s">
        <v>8</v>
      </c>
      <c r="F5" s="112"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14"/>
      <c r="B6" s="116"/>
      <c r="C6" s="118"/>
      <c r="D6" s="118"/>
      <c r="E6" s="113"/>
      <c r="F6" s="113"/>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1"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1</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1</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1</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66</v>
      </c>
      <c r="C33" s="48"/>
      <c r="D33" s="49">
        <v>0</v>
      </c>
      <c r="E33" s="96">
        <f>F31+1</f>
        <v>46114</v>
      </c>
      <c r="F33" s="96">
        <f>E33+7</f>
        <v>46121</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47" t="s">
        <v>60</v>
      </c>
      <c r="C34" s="48"/>
      <c r="D34" s="49">
        <v>0</v>
      </c>
      <c r="E34" s="96">
        <f>F32+1</f>
        <v>46123</v>
      </c>
      <c r="F34" s="96">
        <f>E34+7</f>
        <v>46130</v>
      </c>
      <c r="G34" s="14"/>
      <c r="H34" s="4">
        <f t="shared"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x14ac:dyDescent="0.2">
      <c r="A35" s="12"/>
      <c r="B35" s="50" t="s">
        <v>59</v>
      </c>
      <c r="C35" s="51"/>
      <c r="D35" s="52"/>
      <c r="E35" s="97"/>
      <c r="F35" s="98"/>
      <c r="G35" s="14"/>
      <c r="H35" s="4" t="str">
        <f t="shared" si="30"/>
        <v/>
      </c>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row>
    <row r="36" spans="1:92" s="35" customFormat="1" ht="68" customHeight="1" thickBot="1" x14ac:dyDescent="0.2">
      <c r="A36" s="12"/>
      <c r="B36" s="109" t="s">
        <v>43</v>
      </c>
      <c r="C36" s="55"/>
      <c r="D36" s="56">
        <v>0.2</v>
      </c>
      <c r="E36" s="99">
        <f>Project_Start</f>
        <v>46064</v>
      </c>
      <c r="F36" s="99">
        <f>E36+14</f>
        <v>46078</v>
      </c>
      <c r="G36" s="14"/>
      <c r="H36" s="4">
        <f t="shared" si="30"/>
        <v>15</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4" t="s">
        <v>42</v>
      </c>
      <c r="C37" s="55"/>
      <c r="D37" s="56">
        <v>0.2</v>
      </c>
      <c r="E37" s="99">
        <f>F36+1</f>
        <v>46079</v>
      </c>
      <c r="F37" s="99">
        <f>F34</f>
        <v>46130</v>
      </c>
      <c r="G37" s="14"/>
      <c r="H37" s="4">
        <f t="shared" si="30"/>
        <v>52</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x14ac:dyDescent="0.2">
      <c r="A38" s="12"/>
      <c r="B38" s="50" t="s">
        <v>44</v>
      </c>
      <c r="C38" s="51"/>
      <c r="D38" s="52"/>
      <c r="E38" s="97"/>
      <c r="F38" s="98"/>
      <c r="G38" s="14"/>
      <c r="H38" s="4" t="str">
        <f t="shared" si="30"/>
        <v/>
      </c>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3"/>
      <c r="BR38" s="53"/>
      <c r="BS38" s="53"/>
      <c r="BT38" s="53"/>
      <c r="BU38" s="53"/>
      <c r="BV38" s="53"/>
      <c r="BW38" s="53"/>
      <c r="BX38" s="53"/>
      <c r="BY38" s="53"/>
      <c r="BZ38" s="53"/>
      <c r="CA38" s="53"/>
      <c r="CB38" s="53"/>
      <c r="CC38" s="53"/>
      <c r="CD38" s="53"/>
      <c r="CE38" s="53"/>
      <c r="CF38" s="53"/>
      <c r="CG38" s="53"/>
      <c r="CH38" s="53"/>
      <c r="CI38" s="53"/>
      <c r="CJ38" s="53"/>
      <c r="CK38" s="53"/>
      <c r="CL38" s="53"/>
      <c r="CM38" s="53"/>
      <c r="CN38" s="53"/>
    </row>
    <row r="39" spans="1:92" s="35" customFormat="1" ht="43" thickBot="1" x14ac:dyDescent="0.2">
      <c r="A39" s="12"/>
      <c r="B39" s="109" t="s">
        <v>45</v>
      </c>
      <c r="C39" s="55"/>
      <c r="D39" s="56">
        <v>0.9</v>
      </c>
      <c r="E39" s="99">
        <f>Project_Start</f>
        <v>46064</v>
      </c>
      <c r="F39" s="99">
        <f>E39+21</f>
        <v>46085</v>
      </c>
      <c r="G39" s="111" t="s">
        <v>64</v>
      </c>
      <c r="H39" s="4">
        <f t="shared" si="30"/>
        <v>22</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24" customHeight="1" thickBot="1" x14ac:dyDescent="0.2">
      <c r="A40" s="12"/>
      <c r="B40" s="109" t="s">
        <v>55</v>
      </c>
      <c r="C40" s="55"/>
      <c r="D40" s="56">
        <v>0.3</v>
      </c>
      <c r="E40" s="99">
        <f>F39</f>
        <v>46085</v>
      </c>
      <c r="F40" s="99">
        <f>F34</f>
        <v>46130</v>
      </c>
      <c r="G40" s="14"/>
      <c r="H40" s="4">
        <f t="shared" si="30"/>
        <v>46</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5" customHeight="1" thickBot="1" x14ac:dyDescent="0.2">
      <c r="A41" s="12"/>
      <c r="B41" s="54" t="s">
        <v>65</v>
      </c>
      <c r="C41" s="55"/>
      <c r="D41" s="56">
        <v>1</v>
      </c>
      <c r="E41" s="99">
        <f>F39</f>
        <v>46085</v>
      </c>
      <c r="F41" s="99">
        <f>F34</f>
        <v>46130</v>
      </c>
      <c r="G41" s="14"/>
      <c r="H41" s="4"/>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4" t="s">
        <v>56</v>
      </c>
      <c r="C42" s="55"/>
      <c r="D42" s="56">
        <v>0</v>
      </c>
      <c r="E42" s="99"/>
      <c r="F42" s="99"/>
      <c r="G42" s="14"/>
      <c r="H42" s="4" t="str">
        <f t="shared" si="30"/>
        <v/>
      </c>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x14ac:dyDescent="0.2">
      <c r="A43" s="12"/>
      <c r="B43" s="57" t="s">
        <v>46</v>
      </c>
      <c r="C43" s="58"/>
      <c r="D43" s="59"/>
      <c r="E43" s="100"/>
      <c r="F43" s="101"/>
      <c r="G43" s="14"/>
      <c r="H43" s="4" t="str">
        <f t="shared" si="30"/>
        <v/>
      </c>
      <c r="I43" s="60"/>
      <c r="J43" s="60"/>
      <c r="K43" s="60"/>
      <c r="L43" s="60"/>
      <c r="M43" s="60"/>
      <c r="N43" s="60"/>
      <c r="O43" s="60"/>
      <c r="P43" s="60"/>
      <c r="Q43" s="60"/>
      <c r="R43" s="60"/>
      <c r="S43" s="60"/>
      <c r="T43" s="60"/>
      <c r="U43" s="60"/>
      <c r="V43" s="60"/>
      <c r="W43" s="60"/>
      <c r="X43" s="60"/>
      <c r="Y43" s="60"/>
      <c r="Z43" s="60"/>
      <c r="AA43" s="60"/>
      <c r="AB43" s="60"/>
      <c r="AC43" s="60"/>
      <c r="AD43" s="60"/>
      <c r="AE43" s="60"/>
      <c r="AF43" s="60"/>
      <c r="AG43" s="60"/>
      <c r="AH43" s="60"/>
      <c r="AI43" s="60"/>
      <c r="AJ43" s="60"/>
      <c r="AK43" s="60"/>
      <c r="AL43" s="60"/>
      <c r="AM43" s="60"/>
      <c r="AN43" s="60"/>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c r="BU43" s="60"/>
      <c r="BV43" s="60"/>
      <c r="BW43" s="60"/>
      <c r="BX43" s="60"/>
      <c r="BY43" s="60"/>
      <c r="BZ43" s="60"/>
      <c r="CA43" s="60"/>
      <c r="CB43" s="60"/>
      <c r="CC43" s="60"/>
      <c r="CD43" s="60"/>
      <c r="CE43" s="60"/>
      <c r="CF43" s="60"/>
      <c r="CG43" s="60"/>
      <c r="CH43" s="60"/>
      <c r="CI43" s="60"/>
      <c r="CJ43" s="60"/>
      <c r="CK43" s="60"/>
      <c r="CL43" s="60"/>
      <c r="CM43" s="60"/>
      <c r="CN43" s="60"/>
    </row>
    <row r="44" spans="1:92" s="35" customFormat="1" ht="30" customHeight="1" thickBot="1" x14ac:dyDescent="0.2">
      <c r="A44" s="12"/>
      <c r="B44" s="61" t="s">
        <v>58</v>
      </c>
      <c r="C44" s="62"/>
      <c r="D44" s="63">
        <v>1</v>
      </c>
      <c r="E44" s="102">
        <f>E36</f>
        <v>46064</v>
      </c>
      <c r="F44" s="102">
        <f>E48-3</f>
        <v>46157</v>
      </c>
      <c r="G44" s="14"/>
      <c r="H44" s="4">
        <f t="shared" si="30"/>
        <v>94</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51</v>
      </c>
      <c r="C45" s="62"/>
      <c r="D45" s="63">
        <v>0.9</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47</v>
      </c>
      <c r="C46" s="62"/>
      <c r="D46" s="63">
        <v>0</v>
      </c>
      <c r="E46" s="102">
        <v>46146</v>
      </c>
      <c r="F46" s="102">
        <f>E46+7</f>
        <v>46153</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48</v>
      </c>
      <c r="C47" s="62"/>
      <c r="D47" s="63">
        <v>0</v>
      </c>
      <c r="E47" s="102">
        <f>F46</f>
        <v>46153</v>
      </c>
      <c r="F47" s="102">
        <f>E47+7</f>
        <v>46160</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49</v>
      </c>
      <c r="C48" s="62"/>
      <c r="D48" s="63">
        <v>0</v>
      </c>
      <c r="E48" s="102">
        <f>F47</f>
        <v>46160</v>
      </c>
      <c r="F48" s="102">
        <f>E48+7</f>
        <v>46167</v>
      </c>
      <c r="G48" s="14"/>
      <c r="H48" s="4">
        <f t="shared"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1" t="s">
        <v>50</v>
      </c>
      <c r="C49" s="62"/>
      <c r="D49" s="63">
        <v>0</v>
      </c>
      <c r="E49" s="102">
        <f>F48</f>
        <v>46167</v>
      </c>
      <c r="F49" s="102">
        <f>E49+14</f>
        <v>46181</v>
      </c>
      <c r="G49" s="14"/>
      <c r="H49" s="4">
        <f t="shared" si="30"/>
        <v>15</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x14ac:dyDescent="0.2">
      <c r="A50" s="12"/>
      <c r="B50" s="64" t="s">
        <v>57</v>
      </c>
      <c r="C50" s="65"/>
      <c r="D50" s="66"/>
      <c r="E50" s="103"/>
      <c r="F50" s="103"/>
      <c r="G50" s="14"/>
      <c r="H50" s="4" t="str">
        <f t="shared" si="30"/>
        <v/>
      </c>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row>
    <row r="51" spans="1:92" s="35" customFormat="1" ht="30" customHeight="1" thickBot="1" x14ac:dyDescent="0.2">
      <c r="A51" s="81"/>
      <c r="B51" s="67" t="s">
        <v>11</v>
      </c>
      <c r="C51" s="68"/>
      <c r="D51" s="69"/>
      <c r="E51" s="104"/>
      <c r="F51" s="105"/>
      <c r="G51" s="14"/>
      <c r="H51" s="5" t="str">
        <f t="shared" si="30"/>
        <v/>
      </c>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0"/>
      <c r="BX51" s="70"/>
      <c r="BY51" s="70"/>
      <c r="BZ51" s="70"/>
      <c r="CA51" s="70"/>
      <c r="CB51" s="70"/>
      <c r="CC51" s="70"/>
      <c r="CD51" s="70"/>
      <c r="CE51" s="70"/>
      <c r="CF51" s="70"/>
      <c r="CG51" s="70"/>
      <c r="CH51" s="70"/>
      <c r="CI51" s="70"/>
      <c r="CJ51" s="70"/>
      <c r="CK51" s="70"/>
      <c r="CL51" s="70"/>
      <c r="CM51" s="70"/>
      <c r="CN51" s="70"/>
    </row>
    <row r="52" spans="1:92" ht="30" customHeight="1" x14ac:dyDescent="0.15">
      <c r="G52" s="2"/>
    </row>
    <row r="53" spans="1:92" ht="30" customHeight="1" x14ac:dyDescent="0.15">
      <c r="C53" s="13"/>
      <c r="F53" s="108"/>
    </row>
    <row r="54" spans="1:92" ht="30" customHeight="1" x14ac:dyDescent="0.15">
      <c r="C54"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1">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4">
    <cfRule type="expression" dxfId="44" priority="84" stopIfTrue="1">
      <formula>AND(task_end&gt;=I$5,task_start&lt;J$5)</formula>
    </cfRule>
  </conditionalFormatting>
  <conditionalFormatting sqref="I34:BK45 I4:BK8 I9:BZ10 BL14 I14:BK16 I19:BK21 I23:BK31 BL34:BM34 BL37 BL41:BZ41 BL44:CA44 BL45:BM45 I46:BM46 I48:BK49 I32:BM33">
    <cfRule type="expression" dxfId="43" priority="80">
      <formula>AND(TODAY()&gt;=I$5, TODAY()&lt;J$5)</formula>
    </cfRule>
  </conditionalFormatting>
  <conditionalFormatting sqref="I36:BK37 BL37 I40:BK42 BL41:BZ41">
    <cfRule type="expression" dxfId="42" priority="82" stopIfTrue="1">
      <formula>AND(task_end&gt;=I$5,task_start&lt;J$5)</formula>
    </cfRule>
  </conditionalFormatting>
  <conditionalFormatting sqref="I39:BK39">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4">
    <cfRule type="expression" dxfId="38" priority="26">
      <formula>AND(task_start&lt;=I$5,ROUNDDOWN((task_end-task_start+1)*task_progress,0)+task_start-1&gt;=I$5)</formula>
    </cfRule>
  </conditionalFormatting>
  <conditionalFormatting sqref="I36:CN37">
    <cfRule type="expression" dxfId="37" priority="24">
      <formula>AND(task_start&lt;=I$5,ROUNDDOWN((task_end-task_start+1)*task_progress,0)+task_start-1&gt;=I$5)</formula>
    </cfRule>
  </conditionalFormatting>
  <conditionalFormatting sqref="I39:CN42">
    <cfRule type="expression" dxfId="36" priority="15">
      <formula>AND(task_start&lt;=I$5,ROUNDDOWN((task_end-task_start+1)*task_progress,0)+task_start-1&gt;=I$5)</formula>
    </cfRule>
  </conditionalFormatting>
  <conditionalFormatting sqref="BL24:BL31 BS24:BS31 BZ24:BZ32 CG24:CG34 CN24:CN34 BS33:BS34">
    <cfRule type="expression" dxfId="35" priority="121" stopIfTrue="1">
      <formula>AND(task_end&gt;=BL$5,task_start&lt;#REF!)</formula>
    </cfRule>
  </conditionalFormatting>
  <conditionalFormatting sqref="BL36 BS36 BZ36 CG36:CG37 CN36:CN37 BL39 BS39 BZ39 CG39:CG42 CN39:CN42 BL42 BS42 BZ42">
    <cfRule type="expression" dxfId="34" priority="123" stopIfTrue="1">
      <formula>AND(task_end&gt;=BL$5,task_start&lt;#REF!)</formula>
    </cfRule>
  </conditionalFormatting>
  <conditionalFormatting sqref="BL44:CA44 I44:BK45 BL45:BM45 I46:BM46 I48:BK49">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4">
    <cfRule type="expression" dxfId="31" priority="45" stopIfTrue="1">
      <formula>AND(task_end&gt;=BM$5,task_start&lt;BN$5)</formula>
    </cfRule>
  </conditionalFormatting>
  <conditionalFormatting sqref="BM36:BR37 BM42:BR42">
    <cfRule type="expression" dxfId="30" priority="43" stopIfTrue="1">
      <formula>AND(task_end&gt;=BM$5,task_start&lt;BN$5)</formula>
    </cfRule>
  </conditionalFormatting>
  <conditionalFormatting sqref="BM39:BR39">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5:BT46 I47:BT47">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L4:BL8 BS4:BS8 BZ4:BZ8 BL15 BZ15 BL19 BS19 BZ19 BL23:BL31 BS23:BS31 BZ23:BZ32 BL35:BL36 BZ35:BZ36 BL38:BL39 BS38:BS39 BZ38:BZ39 BL42:BL43 BS42:BS43 BZ42:BZ43 CG45:CG48 BL48 BS33:BS36 CG4:CG43 CN4:CN49">
    <cfRule type="expression" dxfId="25" priority="117">
      <formula>AND(TODAY()&gt;=BL$5, TODAY()&lt;#REF!)</formula>
    </cfRule>
  </conditionalFormatting>
  <conditionalFormatting sqref="BS14:BT14 BM35:BR39 BM4:BR8 BM14:BR15 BM19:BR19 BM23:BR31 BM42:BR43 BN45:BT46 I47:BT47 BN32:BS34">
    <cfRule type="expression" dxfId="24" priority="41">
      <formula>AND(TODAY()&gt;=I$5, TODAY()&lt;J$5)</formula>
    </cfRule>
  </conditionalFormatting>
  <conditionalFormatting sqref="BT24:BY34">
    <cfRule type="expression" dxfId="23" priority="36" stopIfTrue="1">
      <formula>AND(task_end&gt;=BT$5,task_start&lt;BU$5)</formula>
    </cfRule>
  </conditionalFormatting>
  <conditionalFormatting sqref="BT36:BY36 BT42:BY42">
    <cfRule type="expression" dxfId="22" priority="34" stopIfTrue="1">
      <formula>AND(task_end&gt;=BT$5,task_start&lt;BU$5)</formula>
    </cfRule>
  </conditionalFormatting>
  <conditionalFormatting sqref="BT38:BY39 BT4:BY8 BZ14 BT14:BY15 BT19:BY19 BT42:BY43 BU45:CA45 BT23:BY36">
    <cfRule type="expression" dxfId="21" priority="32">
      <formula>AND(TODAY()&gt;=BT$5, TODAY()&lt;BU$5)</formula>
    </cfRule>
  </conditionalFormatting>
  <conditionalFormatting sqref="BT39:BY39">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5:CA45">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4">
    <cfRule type="expression" dxfId="15" priority="27" stopIfTrue="1">
      <formula>AND(task_end&gt;=BZ$5,task_start&lt;CA$5)</formula>
    </cfRule>
  </conditionalFormatting>
  <conditionalFormatting sqref="CA36:CF36 BS37:CF37 BL40:CF40 CA41:CF42">
    <cfRule type="expression" dxfId="14" priority="25" stopIfTrue="1">
      <formula>AND(task_end&gt;=BL$5,task_start&lt;BM$5)</formula>
    </cfRule>
  </conditionalFormatting>
  <conditionalFormatting sqref="CA38:CF39 CA4:CF10 I11:CF13 CA14:CF15 BL16:CF16 I17:CF18 CA19:CF19 BL20:CF21 I22:CF22 CA23:CF32 CA35:CF36 BS37:CF37 BL40:CF40 CA41:CF43 CB44:CF45 BU46:CF47 BM48:CF48 BZ33:CF34">
    <cfRule type="expression" dxfId="13" priority="23">
      <formula>AND(TODAY()&gt;=I$5, TODAY()&lt;J$5)</formula>
    </cfRule>
  </conditionalFormatting>
  <conditionalFormatting sqref="CA39:CF39">
    <cfRule type="expression" dxfId="12" priority="16" stopIfTrue="1">
      <formula>AND(task_end&gt;=CA$5,task_start&lt;CB$5)</formula>
    </cfRule>
  </conditionalFormatting>
  <conditionalFormatting sqref="CB44:CF45 BU46:CF47 BM48:CF48">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4:CM44 CH45:CM48 BL49:CM49">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G44:CM44 CH45:CM48 BL49:CM49 CH4:CM43">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4">
    <cfRule type="expression" dxfId="4" priority="4" stopIfTrue="1">
      <formula>AND(task_end&gt;=CH$5,task_start&lt;CI$5)</formula>
    </cfRule>
  </conditionalFormatting>
  <conditionalFormatting sqref="CH36:CM37 CH40:CM42">
    <cfRule type="expression" dxfId="3" priority="3" stopIfTrue="1">
      <formula>AND(task_end&gt;=CH$5,task_start&lt;CI$5)</formula>
    </cfRule>
  </conditionalFormatting>
  <conditionalFormatting sqref="CH39:CM39">
    <cfRule type="expression" dxfId="2" priority="1" stopIfTrue="1">
      <formula>AND(task_end&gt;=CH$5,task_start&lt;CI$5)</formula>
    </cfRule>
  </conditionalFormatting>
  <conditionalFormatting sqref="CN44:CN49 CG45:CG48 BL48">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5 A38" xr:uid="{956902D1-D3B5-416D-BB69-9362D193BC0A}"/>
    <dataValidation allowBlank="1" showInputMessage="1" showErrorMessage="1" prompt="Phase 4's sample block starts in cell B26." sqref="A43"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1"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2026-03-26T14:45:57Z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