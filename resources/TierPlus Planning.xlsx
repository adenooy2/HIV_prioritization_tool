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https://d.docs.live.net/2ae90f5cbd0fd171/AMC/HIV Prioritization tool/HIV_prioritization_tool/resources/"/>
    </mc:Choice>
  </mc:AlternateContent>
  <xr:revisionPtr revIDLastSave="495" documentId="8_{E97B7BBA-A1CF-CA4D-89B6-D5BE4B7D4A10}" xr6:coauthVersionLast="47" xr6:coauthVersionMax="47" xr10:uidLastSave="{A465ECEB-14AD-8040-B907-3EB29243E7E1}"/>
  <bookViews>
    <workbookView xWindow="0" yWindow="500" windowWidth="28800" windowHeight="1598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11" l="1"/>
  <c r="F29" i="11" s="1"/>
  <c r="F45" i="11"/>
  <c r="E46" i="11" s="1"/>
  <c r="F46" i="11" s="1"/>
  <c r="E47" i="11" s="1"/>
  <c r="F44" i="11"/>
  <c r="F26" i="11"/>
  <c r="E27" i="11" s="1"/>
  <c r="H37" i="11"/>
  <c r="H15" i="11"/>
  <c r="H8" i="11"/>
  <c r="H7" i="11"/>
  <c r="F43" i="11" l="1"/>
  <c r="F47" i="11"/>
  <c r="E48" i="11" s="1"/>
  <c r="F48" i="11" s="1"/>
  <c r="E28" i="11"/>
  <c r="F28" i="11" s="1"/>
  <c r="E30" i="11" s="1"/>
  <c r="F30" i="11" s="1"/>
  <c r="E31" i="11" s="1"/>
  <c r="F27" i="11"/>
  <c r="Q1" i="11"/>
  <c r="E38" i="11" s="1"/>
  <c r="F38" i="11" l="1"/>
  <c r="E40" i="11" s="1"/>
  <c r="E35" i="11"/>
  <c r="F35" i="11" s="1"/>
  <c r="E21" i="11"/>
  <c r="F21" i="11" s="1"/>
  <c r="E22" i="11" s="1"/>
  <c r="F22" i="11" s="1"/>
  <c r="E25" i="11"/>
  <c r="F25" i="11" s="1"/>
  <c r="E13" i="11"/>
  <c r="F13" i="11" s="1"/>
  <c r="E14" i="11" s="1"/>
  <c r="E17" i="11"/>
  <c r="F17" i="11" s="1"/>
  <c r="E18" i="11" s="1"/>
  <c r="F18" i="11" s="1"/>
  <c r="E10" i="11"/>
  <c r="F10" i="11" s="1"/>
  <c r="E11" i="11"/>
  <c r="F11" i="11" s="1"/>
  <c r="E12" i="11"/>
  <c r="F12" i="11" s="1"/>
  <c r="E9" i="11"/>
  <c r="F9" i="11" s="1"/>
  <c r="E24" i="11"/>
  <c r="F24" i="11" s="1"/>
  <c r="E16" i="11"/>
  <c r="F16" i="11" s="1"/>
  <c r="E20" i="11"/>
  <c r="F20" i="11" s="1"/>
  <c r="I5" i="11"/>
  <c r="H50" i="11"/>
  <c r="H49" i="11"/>
  <c r="H42" i="11"/>
  <c r="H34" i="11"/>
  <c r="H23" i="11"/>
  <c r="H19" i="11"/>
  <c r="E43" i="11" l="1"/>
  <c r="H38" i="11"/>
  <c r="E39" i="11"/>
  <c r="E36" i="11"/>
  <c r="H20" i="11"/>
  <c r="H28" i="11"/>
  <c r="H16" i="11"/>
  <c r="I6" i="11"/>
  <c r="H44" i="11" l="1"/>
  <c r="H47" i="11"/>
  <c r="H13" i="11"/>
  <c r="F14" i="11"/>
  <c r="H35" i="11"/>
  <c r="H30" i="11"/>
  <c r="H18" i="11"/>
  <c r="H17" i="11"/>
  <c r="H9" i="11"/>
  <c r="H22" i="11"/>
  <c r="H24" i="11"/>
  <c r="J5" i="11"/>
  <c r="K5" i="11" s="1"/>
  <c r="L5" i="11" s="1"/>
  <c r="M5" i="11" s="1"/>
  <c r="N5" i="11" s="1"/>
  <c r="O5" i="11" s="1"/>
  <c r="P5" i="11" s="1"/>
  <c r="I4" i="11"/>
  <c r="H41" i="11" l="1"/>
  <c r="H48" i="11"/>
  <c r="H46" i="11"/>
  <c r="H14" i="11"/>
  <c r="H10" i="11"/>
  <c r="H25" i="11"/>
  <c r="P4" i="11"/>
  <c r="Q5" i="11"/>
  <c r="R5" i="11" s="1"/>
  <c r="S5" i="11" s="1"/>
  <c r="T5" i="11" s="1"/>
  <c r="U5" i="11" s="1"/>
  <c r="V5" i="11" s="1"/>
  <c r="W5" i="11" s="1"/>
  <c r="J6" i="11"/>
  <c r="H45" i="11" l="1"/>
  <c r="H43" i="11"/>
  <c r="H12" i="11"/>
  <c r="H11" i="11"/>
  <c r="H26" i="11"/>
  <c r="W4" i="11"/>
  <c r="X5" i="11"/>
  <c r="Y5" i="11" s="1"/>
  <c r="Z5" i="11" s="1"/>
  <c r="AA5" i="11" s="1"/>
  <c r="AB5" i="11" s="1"/>
  <c r="AC5" i="11" s="1"/>
  <c r="AD5" i="11" s="1"/>
  <c r="K6" i="11"/>
  <c r="H27" i="11" l="1"/>
  <c r="F31" i="11"/>
  <c r="E32" i="11" s="1"/>
  <c r="F32" i="11" s="1"/>
  <c r="AE5" i="11"/>
  <c r="AF5" i="11" s="1"/>
  <c r="AG5" i="11" s="1"/>
  <c r="AH5" i="11" s="1"/>
  <c r="AI5" i="11" s="1"/>
  <c r="AJ5" i="11" s="1"/>
  <c r="AD4" i="11"/>
  <c r="L6" i="11"/>
  <c r="H32" i="11" l="1"/>
  <c r="E33" i="11"/>
  <c r="F33" i="11" s="1"/>
  <c r="H31" i="11"/>
  <c r="AK5" i="11"/>
  <c r="AL5" i="11" s="1"/>
  <c r="AM5" i="11" s="1"/>
  <c r="AN5" i="11" s="1"/>
  <c r="AO5" i="11" s="1"/>
  <c r="AP5" i="11" s="1"/>
  <c r="AQ5" i="11" s="1"/>
  <c r="M6" i="11"/>
  <c r="F39" i="11" l="1"/>
  <c r="H39" i="11" s="1"/>
  <c r="F40" i="11"/>
  <c r="F36" i="11"/>
  <c r="H36" i="11" s="1"/>
  <c r="H33" i="1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6" i="11"/>
  <c r="BM4" i="11"/>
  <c r="BL6" i="11"/>
  <c r="AG6" i="11"/>
  <c r="BO5" i="11" l="1"/>
  <c r="BN6" i="11"/>
  <c r="AH6" i="11"/>
  <c r="BP5" i="11" l="1"/>
  <c r="BO6" i="11"/>
  <c r="AI6" i="11"/>
  <c r="BQ5" i="11" l="1"/>
  <c r="BP6" i="11"/>
  <c r="AJ6" i="11"/>
  <c r="BR5" i="11" l="1"/>
  <c r="BQ6" i="11"/>
  <c r="AK6" i="11"/>
  <c r="BR6" i="11" l="1"/>
  <c r="BS5" i="11"/>
  <c r="AL6" i="11"/>
  <c r="BS6" i="11" l="1"/>
  <c r="BT5" i="11"/>
  <c r="AM6" i="11"/>
  <c r="BU5" i="11" l="1"/>
  <c r="BT6" i="11"/>
  <c r="BT4" i="11"/>
  <c r="AN6" i="11"/>
  <c r="BV5" i="11" l="1"/>
  <c r="BU6" i="11"/>
  <c r="AO6" i="11"/>
  <c r="BW5" i="11" l="1"/>
  <c r="BV6" i="11"/>
  <c r="AP6" i="11"/>
  <c r="BX5" i="11" l="1"/>
  <c r="BW6" i="11"/>
  <c r="AQ6" i="11"/>
  <c r="BY5" i="11" l="1"/>
  <c r="BX6" i="11"/>
  <c r="AR6" i="11"/>
  <c r="BY6" i="11" l="1"/>
  <c r="BZ5" i="11"/>
  <c r="BZ6" i="11" l="1"/>
  <c r="CA5" i="11"/>
  <c r="CB5" i="11" l="1"/>
  <c r="CA6" i="11"/>
  <c r="CA4" i="11"/>
  <c r="CC5" i="11" l="1"/>
  <c r="CB6" i="11"/>
  <c r="CD5" i="11" l="1"/>
  <c r="CC6" i="11"/>
  <c r="CE5" i="11" l="1"/>
  <c r="CD6" i="11"/>
  <c r="CF5" i="11" l="1"/>
  <c r="CE6" i="11"/>
  <c r="CF6" i="11" l="1"/>
  <c r="CG5" i="11"/>
  <c r="CG6" i="11" l="1"/>
  <c r="CH5" i="11"/>
  <c r="CH6" i="11" l="1"/>
  <c r="CI5" i="11"/>
  <c r="CH4" i="11"/>
  <c r="CI6" i="11" l="1"/>
  <c r="CJ5" i="11"/>
  <c r="CK5" i="11" l="1"/>
  <c r="CJ6" i="11"/>
  <c r="CL5" i="11" l="1"/>
  <c r="CK6" i="11"/>
  <c r="CM5" i="11" l="1"/>
  <c r="CL6" i="11"/>
  <c r="CN5" i="11" l="1"/>
  <c r="CN6" i="11" s="1"/>
  <c r="CM6" i="11"/>
</calcChain>
</file>

<file path=xl/sharedStrings.xml><?xml version="1.0" encoding="utf-8"?>
<sst xmlns="http://schemas.openxmlformats.org/spreadsheetml/2006/main" count="70" uniqueCount="65">
  <si>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</si>
  <si>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</si>
  <si>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</si>
  <si>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</si>
  <si>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</si>
  <si>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</si>
  <si>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</si>
  <si>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</si>
  <si>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</si>
  <si>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</si>
  <si>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</si>
  <si>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</si>
  <si>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</si>
  <si>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</si>
  <si>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</si>
  <si>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</si>
  <si>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</si>
  <si>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</si>
  <si>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</si>
  <si>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</si>
  <si>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</si>
  <si>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</si>
  <si>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</si>
  <si>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</si>
  <si>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</si>
  <si>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</si>
  <si>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Tier Plus</t>
  </si>
  <si>
    <t>Data Collection - Efficacy and Cost params</t>
  </si>
  <si>
    <t>Prevention</t>
  </si>
  <si>
    <t xml:space="preserve">Testing </t>
  </si>
  <si>
    <t>Monitoring and retention</t>
  </si>
  <si>
    <t>AHD and prophylaxis</t>
  </si>
  <si>
    <t>ANC and PNC</t>
  </si>
  <si>
    <t>Data Collection - Additional assumption and rates (e.g mortality rates per group)</t>
  </si>
  <si>
    <t>Collect data</t>
  </si>
  <si>
    <t>Integrate into app</t>
  </si>
  <si>
    <t>Create parameter list with dummy values</t>
  </si>
  <si>
    <t>Data Collection - Baseline intervention values (where available)</t>
  </si>
  <si>
    <t xml:space="preserve">Collect any available data </t>
  </si>
  <si>
    <t>Testing</t>
  </si>
  <si>
    <t>General viral suppression and infections</t>
  </si>
  <si>
    <t>Costing</t>
  </si>
  <si>
    <t>Test app integration</t>
  </si>
  <si>
    <t>Implement and Test</t>
  </si>
  <si>
    <t>Define validation cases, logic and assumptions (including eligble populations, minimum or maximum groups, overlapping interventions, impact on 90's etc)</t>
  </si>
  <si>
    <t>Input Validation - App - Implement and test</t>
  </si>
  <si>
    <t>Define validation cases, logic and assumption (e.g prep_len + prep_oral cannot exceed eligible pop)</t>
  </si>
  <si>
    <t>Integrated Testing and User feedback</t>
  </si>
  <si>
    <t>Test unreasonable scenarios</t>
  </si>
  <si>
    <t>Fix problems</t>
  </si>
  <si>
    <t>Gather user feedback</t>
  </si>
  <si>
    <t>Integrate feedback</t>
  </si>
  <si>
    <t>Test reasonable scenarios</t>
  </si>
  <si>
    <t>Define assumptions for baseline interventions in the anscence of data</t>
  </si>
  <si>
    <t>Integrate both into app</t>
  </si>
  <si>
    <t>Core Logic Testing - test code and documentation - usually results in app fixes as well</t>
  </si>
  <si>
    <t>Populations and 95's (potentially incoporated in during above sections)</t>
  </si>
  <si>
    <t>Implement: Input limits (where relevant)</t>
  </si>
  <si>
    <t>Implement: Limits on combinations</t>
  </si>
  <si>
    <t xml:space="preserve">Implement: </t>
  </si>
  <si>
    <t>END PLANNING: JUNE 15th Max</t>
  </si>
  <si>
    <t>Figure out app publishing</t>
  </si>
  <si>
    <t>Validation - Logic (some incoporated during core logic testing)</t>
  </si>
  <si>
    <t>Re-test with all new data</t>
  </si>
  <si>
    <t>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</si>
</sst>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m/d/yy;@"/>
    <numFmt numFmtId="165" formatCode="ddd\,\ m/d/yyyy"/>
    <numFmt numFmtId="166" formatCode="mmm\ d\,\ yyyy"/>
    <numFmt numFmtId="167" formatCode="d"/>
    <numFmt numFmtId="168" formatCode="yyyy\-mm\-dd;@"/>
    <numFmt numFmtId="169" formatCode="[$-409]d\-mmm;@"/>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8">
    <xf numFmtId="0" fontId="0" fillId="0" borderId="0" xfId="0"/>
    <xf numFmtId="0" fontId="1" fillId="0" borderId="0" xfId="0" applyFont="1"/>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6" fillId="0" borderId="0" xfId="0" applyFont="1"/>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1" fillId="0" borderId="0" xfId="1" applyFont="1" applyAlignment="1" applyProtection="1">
      <alignment horizontal="left" vertical="top"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169" fontId="14" fillId="0" borderId="0" xfId="0" applyNumberFormat="1" applyFont="1" applyAlignment="1">
      <alignment horizontal="center"/>
    </xf>
    <xf numFmtId="169" fontId="14" fillId="0" borderId="0" xfId="0" applyNumberFormat="1" applyFont="1" applyAlignment="1">
      <alignment horizontal="center" vertical="center"/>
    </xf>
    <xf numFmtId="169" fontId="16" fillId="0" borderId="0" xfId="0" applyNumberFormat="1" applyFont="1" applyAlignment="1">
      <alignment horizontal="center"/>
    </xf>
    <xf numFmtId="169" fontId="16" fillId="0" borderId="0" xfId="0" applyNumberFormat="1" applyFont="1"/>
    <xf numFmtId="169" fontId="4" fillId="0" borderId="0" xfId="0" applyNumberFormat="1" applyFont="1" applyAlignment="1">
      <alignment horizontal="center"/>
    </xf>
    <xf numFmtId="169" fontId="4" fillId="0" borderId="0" xfId="0" applyNumberFormat="1" applyFont="1"/>
    <xf numFmtId="169" fontId="4" fillId="0" borderId="0" xfId="0" applyNumberFormat="1" applyFont="1" applyAlignment="1">
      <alignment horizontal="left" indent="1"/>
    </xf>
    <xf numFmtId="169" fontId="19" fillId="0" borderId="0" xfId="0" applyNumberFormat="1" applyFont="1"/>
    <xf numFmtId="169" fontId="19" fillId="6" borderId="0" xfId="0" applyNumberFormat="1" applyFont="1" applyFill="1" applyAlignment="1">
      <alignment horizontal="center" vertical="center"/>
    </xf>
    <xf numFmtId="169" fontId="1" fillId="6" borderId="0" xfId="0" applyNumberFormat="1" applyFont="1" applyFill="1" applyAlignment="1">
      <alignment horizontal="center" vertical="center"/>
    </xf>
    <xf numFmtId="169" fontId="19" fillId="3" borderId="6" xfId="10" applyNumberFormat="1" applyFont="1" applyFill="1" applyBorder="1">
      <alignment horizontal="center" vertical="center"/>
    </xf>
    <xf numFmtId="169" fontId="19" fillId="3" borderId="7" xfId="10" applyNumberFormat="1" applyFont="1" applyFill="1" applyBorder="1">
      <alignment horizontal="center" vertical="center"/>
    </xf>
    <xf numFmtId="169" fontId="19" fillId="7" borderId="0" xfId="0" applyNumberFormat="1" applyFont="1" applyFill="1" applyAlignment="1">
      <alignment horizontal="center" vertical="center"/>
    </xf>
    <xf numFmtId="169" fontId="1" fillId="7" borderId="0" xfId="0" applyNumberFormat="1" applyFont="1" applyFill="1" applyAlignment="1">
      <alignment horizontal="center" vertical="center"/>
    </xf>
    <xf numFmtId="169" fontId="19" fillId="4" borderId="5" xfId="10" applyNumberFormat="1" applyFont="1" applyFill="1" applyBorder="1">
      <alignment horizontal="center" vertical="center"/>
    </xf>
    <xf numFmtId="169" fontId="19"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9" fillId="5" borderId="8" xfId="10" applyNumberFormat="1" applyFont="1" applyFill="1" applyBorder="1">
      <alignment horizontal="center" vertical="center"/>
    </xf>
    <xf numFmtId="169" fontId="19" fillId="9" borderId="0" xfId="0" applyNumberFormat="1" applyFont="1" applyFill="1" applyAlignment="1">
      <alignment horizontal="center" vertical="center"/>
    </xf>
    <xf numFmtId="169" fontId="1" fillId="9" borderId="0" xfId="0" applyNumberFormat="1" applyFont="1" applyFill="1" applyAlignment="1">
      <alignment horizontal="center" vertical="center"/>
    </xf>
    <xf numFmtId="169" fontId="19" fillId="10" borderId="9" xfId="10" applyNumberFormat="1" applyFont="1" applyFill="1" applyBorder="1">
      <alignment horizontal="center" vertical="center"/>
    </xf>
    <xf numFmtId="169" fontId="19" fillId="0" borderId="0" xfId="10" applyNumberFormat="1" applyFont="1" applyBorder="1">
      <alignment horizontal="center" vertical="center"/>
    </xf>
    <xf numFmtId="169" fontId="25" fillId="2" borderId="0" xfId="0" applyNumberFormat="1" applyFont="1" applyFill="1" applyAlignment="1">
      <alignment horizontal="left" vertical="center"/>
    </xf>
    <xf numFmtId="169" fontId="1" fillId="2" borderId="0" xfId="0" applyNumberFormat="1" applyFont="1" applyFill="1" applyAlignment="1">
      <alignment horizontal="center" vertical="center"/>
    </xf>
    <xf numFmtId="169" fontId="0" fillId="0" borderId="0" xfId="0" applyNumberFormat="1" applyAlignment="1">
      <alignment horizontal="center"/>
    </xf>
    <xf numFmtId="169" fontId="0" fillId="0" borderId="0" xfId="0" applyNumberFormat="1"/>
    <xf numFmtId="169" fontId="13" fillId="0" borderId="0" xfId="0" applyNumberFormat="1" applyFont="1" applyAlignment="1">
      <alignment horizontal="center"/>
    </xf>
    <xf numFmtId="0" fontId="19" fillId="5" borderId="8" xfId="12" applyFont="1" applyFill="1" applyBorder="1" applyAlignment="1">
      <alignment horizontal="left" vertical="center" wrapText="1" indent="2"/>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0" fontId="27" fillId="0" borderId="0" xfId="0" applyFont="1" applyAlignment="1">
      <alignment horizontal="left"/>
    </xf>
    <xf numFmtId="0" fontId="28" fillId="0" borderId="0" xfId="0" applyFont="1"/>
    <xf numFmtId="168" fontId="27" fillId="0" borderId="0" xfId="9" applyNumberFormat="1" applyFont="1" applyBorder="1" applyAlignment="1">
      <alignment horizontal="left"/>
    </xf>
    <xf numFmtId="168" fontId="28" fillId="0" borderId="0" xfId="0" applyNumberFormat="1" applyFont="1"/>
    <xf numFmtId="0" fontId="26" fillId="0" borderId="0" xfId="8" applyFont="1" applyAlignment="1">
      <alignment horizontal="left"/>
    </xf>
    <xf numFmtId="0" fontId="4" fillId="0" borderId="0" xfId="0" applyFont="1"/>
    <xf numFmtId="166" fontId="19" fillId="2" borderId="18" xfId="0" applyNumberFormat="1" applyFont="1" applyFill="1" applyBorder="1" applyAlignment="1">
      <alignment horizontal="center" vertical="center"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169" fontId="20" fillId="11" borderId="16" xfId="0" applyNumberFormat="1" applyFont="1" applyFill="1" applyBorder="1" applyAlignment="1">
      <alignment horizontal="center" vertical="center"/>
    </xf>
    <xf numFmtId="169" fontId="4" fillId="2" borderId="21" xfId="0" applyNumberFormat="1" applyFont="1" applyFill="1" applyBorder="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54">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53"/>
      <tableStyleElement type="headerRow" dxfId="52"/>
      <tableStyleElement type="totalRow" dxfId="51"/>
      <tableStyleElement type="firstColumn" dxfId="50"/>
      <tableStyleElement type="lastColumn" dxfId="49"/>
      <tableStyleElement type="firstRowStripe" dxfId="48"/>
      <tableStyleElement type="secondRowStripe" dxfId="47"/>
      <tableStyleElement type="firstColumnStripe" dxfId="46"/>
      <tableStyleElement type="secondColumnStripe" dxfId="4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trlProps/ctrlProp1.xml><?xml version="1.0" encoding="utf-8"?>
<formControlPr xmlns="http://schemas.microsoft.com/office/spreadsheetml/2009/9/main" objectType="Scroll" dx="15" fmlaLink="$Q$2" horiz="1" max="100" page="0"/>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165100</xdr:colOff>
          <xdr:row>1</xdr:row>
          <xdr:rowOff>139700</xdr:rowOff>
        </xdr:from>
        <xdr:to>
          <xdr:col>40</xdr:col>
          <xdr:colOff>50800</xdr:colOff>
          <xdr:row>2</xdr:row>
          <xdr:rowOff>88900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6" Type="http://schemas.openxmlformats.org/officeDocument/2006/relationships/ctrlProp" Target="../ctrlProps/ctrlProp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53"/>
  <sheetViews>
    <sheetView showGridLines="0" tabSelected="1" showRuler="0" topLeftCell="A5" zoomScale="75" zoomScaleNormal="100" zoomScalePageLayoutView="70" workbookViewId="0">
      <selection activeCell="D17" sqref="D17"/>
    </sheetView>
  </sheetViews>
  <sheetFormatPr baseColWidth="10" defaultColWidth="8.6640625" defaultRowHeight="30" customHeight="1" x14ac:dyDescent="0.15"/>
  <cols>
    <col min="1" max="1" width="2.6640625" style="12" customWidth="1"/>
    <col min="2" max="2" width="37.33203125" customWidth="1"/>
    <col min="3" max="3" width="16.6640625" customWidth="1"/>
    <col min="4" max="4" width="10.6640625" customWidth="1"/>
    <col min="5" max="5" width="10.6640625" style="107" customWidth="1"/>
    <col min="6" max="6" width="6.6640625" style="108" bestFit="1" customWidth="1"/>
    <col min="7" max="7" width="2.6640625" customWidth="1"/>
    <col min="8" max="8" width="6" hidden="1" customWidth="1"/>
    <col min="9" max="92" width="2.6640625" customWidth="1"/>
  </cols>
  <sheetData>
    <row r="1" spans="1:92" ht="90" customHeight="1" x14ac:dyDescent="0.85">
      <c r="A1" s="82"/>
      <c r="B1" s="74" t="s">
        <v>26</v>
      </c>
      <c r="C1" s="15"/>
      <c r="D1" s="16"/>
      <c r="E1" s="83"/>
      <c r="F1" s="84"/>
      <c r="H1" s="1"/>
      <c r="I1" s="117" t="s">
        <v>0</v>
      </c>
      <c r="J1" s="118"/>
      <c r="K1" s="118"/>
      <c r="L1" s="118"/>
      <c r="M1" s="118"/>
      <c r="N1" s="118"/>
      <c r="O1" s="118"/>
      <c r="P1" s="18"/>
      <c r="Q1" s="115">
        <f ca="1">TODAY()</f>
        <v>46064</v>
      </c>
      <c r="R1" s="116"/>
      <c r="S1" s="116"/>
      <c r="T1" s="116"/>
      <c r="U1" s="116"/>
      <c r="V1" s="116"/>
      <c r="W1" s="116"/>
      <c r="X1" s="116"/>
      <c r="Y1" s="116"/>
      <c r="Z1" s="116"/>
    </row>
    <row r="2" spans="1:92" ht="30" customHeight="1" x14ac:dyDescent="0.4">
      <c r="B2" s="72" t="s">
        <v>1</v>
      </c>
      <c r="C2" s="73" t="s">
        <v>2</v>
      </c>
      <c r="D2" s="17"/>
      <c r="E2" s="85"/>
      <c r="F2" s="86"/>
      <c r="I2" s="117" t="s">
        <v>3</v>
      </c>
      <c r="J2" s="118"/>
      <c r="K2" s="118"/>
      <c r="L2" s="118"/>
      <c r="M2" s="118"/>
      <c r="N2" s="118"/>
      <c r="O2" s="118"/>
      <c r="P2" s="18"/>
      <c r="Q2" s="113">
        <v>1</v>
      </c>
      <c r="R2" s="114"/>
      <c r="S2" s="114"/>
      <c r="T2" s="114"/>
      <c r="U2" s="114"/>
      <c r="V2" s="114"/>
      <c r="W2" s="114"/>
      <c r="X2" s="114"/>
      <c r="Y2" s="114"/>
      <c r="Z2" s="114"/>
    </row>
    <row r="3" spans="1:92" s="20" customFormat="1" ht="30" customHeight="1" x14ac:dyDescent="0.15">
      <c r="A3" s="12"/>
      <c r="B3" s="19" t="s">
        <v>4</v>
      </c>
      <c r="D3" s="21"/>
      <c r="E3" s="87"/>
      <c r="F3" s="88"/>
    </row>
    <row r="4" spans="1:92" s="20" customFormat="1" ht="30" customHeight="1" x14ac:dyDescent="0.15">
      <c r="A4" s="82"/>
      <c r="B4" s="22" t="s">
        <v>5</v>
      </c>
      <c r="E4" s="89"/>
      <c r="F4" s="88"/>
      <c r="I4" s="119">
        <f ca="1">I5</f>
        <v>46062</v>
      </c>
      <c r="J4" s="111"/>
      <c r="K4" s="111"/>
      <c r="L4" s="111"/>
      <c r="M4" s="111"/>
      <c r="N4" s="111"/>
      <c r="O4" s="111"/>
      <c r="P4" s="111">
        <f ca="1">P5</f>
        <v>46069</v>
      </c>
      <c r="Q4" s="111"/>
      <c r="R4" s="111"/>
      <c r="S4" s="111"/>
      <c r="T4" s="111"/>
      <c r="U4" s="111"/>
      <c r="V4" s="111"/>
      <c r="W4" s="111">
        <f ca="1">W5</f>
        <v>46076</v>
      </c>
      <c r="X4" s="111"/>
      <c r="Y4" s="111"/>
      <c r="Z4" s="111"/>
      <c r="AA4" s="111"/>
      <c r="AB4" s="111"/>
      <c r="AC4" s="111"/>
      <c r="AD4" s="111">
        <f ca="1">AD5</f>
        <v>46083</v>
      </c>
      <c r="AE4" s="111"/>
      <c r="AF4" s="111"/>
      <c r="AG4" s="111"/>
      <c r="AH4" s="111"/>
      <c r="AI4" s="111"/>
      <c r="AJ4" s="111"/>
      <c r="AK4" s="111">
        <f ca="1">AK5</f>
        <v>46090</v>
      </c>
      <c r="AL4" s="111"/>
      <c r="AM4" s="111"/>
      <c r="AN4" s="111"/>
      <c r="AO4" s="111"/>
      <c r="AP4" s="111"/>
      <c r="AQ4" s="111"/>
      <c r="AR4" s="111">
        <f ca="1">AR5</f>
        <v>46097</v>
      </c>
      <c r="AS4" s="111"/>
      <c r="AT4" s="111"/>
      <c r="AU4" s="111"/>
      <c r="AV4" s="111"/>
      <c r="AW4" s="111"/>
      <c r="AX4" s="111"/>
      <c r="AY4" s="111">
        <f ca="1">AY5</f>
        <v>46104</v>
      </c>
      <c r="AZ4" s="111"/>
      <c r="BA4" s="111"/>
      <c r="BB4" s="111"/>
      <c r="BC4" s="111"/>
      <c r="BD4" s="111"/>
      <c r="BE4" s="111"/>
      <c r="BF4" s="111">
        <f ca="1">BF5</f>
        <v>46111</v>
      </c>
      <c r="BG4" s="111"/>
      <c r="BH4" s="111"/>
      <c r="BI4" s="111"/>
      <c r="BJ4" s="111"/>
      <c r="BK4" s="111"/>
      <c r="BL4" s="112"/>
      <c r="BM4" s="111">
        <f ca="1">BM5</f>
        <v>46118</v>
      </c>
      <c r="BN4" s="111"/>
      <c r="BO4" s="111"/>
      <c r="BP4" s="111"/>
      <c r="BQ4" s="111"/>
      <c r="BR4" s="111"/>
      <c r="BS4" s="112"/>
      <c r="BT4" s="111">
        <f ca="1">BT5</f>
        <v>46125</v>
      </c>
      <c r="BU4" s="111"/>
      <c r="BV4" s="111"/>
      <c r="BW4" s="111"/>
      <c r="BX4" s="111"/>
      <c r="BY4" s="111"/>
      <c r="BZ4" s="112"/>
      <c r="CA4" s="111">
        <f ca="1">CA5</f>
        <v>46132</v>
      </c>
      <c r="CB4" s="111"/>
      <c r="CC4" s="111"/>
      <c r="CD4" s="111"/>
      <c r="CE4" s="111"/>
      <c r="CF4" s="111"/>
      <c r="CG4" s="112"/>
      <c r="CH4" s="111">
        <f ca="1">CH5</f>
        <v>46139</v>
      </c>
      <c r="CI4" s="111"/>
      <c r="CJ4" s="111"/>
      <c r="CK4" s="111"/>
      <c r="CL4" s="111"/>
      <c r="CM4" s="111"/>
      <c r="CN4" s="112"/>
    </row>
    <row r="5" spans="1:92" s="20" customFormat="1" ht="15" customHeight="1" x14ac:dyDescent="0.15">
      <c r="A5" s="120"/>
      <c r="B5" s="121" t="s">
        <v>6</v>
      </c>
      <c r="C5" s="123" t="s">
        <v>7</v>
      </c>
      <c r="D5" s="125" t="s">
        <v>8</v>
      </c>
      <c r="E5" s="126" t="s">
        <v>9</v>
      </c>
      <c r="F5" s="126" t="s">
        <v>10</v>
      </c>
      <c r="I5" s="23">
        <f ca="1">Project_Start-WEEKDAY(Project_Start,1)+2+7*(Display_Week-1)</f>
        <v>46062</v>
      </c>
      <c r="J5" s="23">
        <f ca="1">I5+1</f>
        <v>46063</v>
      </c>
      <c r="K5" s="23">
        <f t="shared" ref="K5:AX5" ca="1" si="0">J5+1</f>
        <v>46064</v>
      </c>
      <c r="L5" s="23">
        <f t="shared" ca="1" si="0"/>
        <v>46065</v>
      </c>
      <c r="M5" s="23">
        <f t="shared" ca="1" si="0"/>
        <v>46066</v>
      </c>
      <c r="N5" s="23">
        <f t="shared" ca="1" si="0"/>
        <v>46067</v>
      </c>
      <c r="O5" s="24">
        <f t="shared" ca="1" si="0"/>
        <v>46068</v>
      </c>
      <c r="P5" s="25">
        <f ca="1">O5+1</f>
        <v>46069</v>
      </c>
      <c r="Q5" s="23">
        <f ca="1">P5+1</f>
        <v>46070</v>
      </c>
      <c r="R5" s="23">
        <f t="shared" ca="1" si="0"/>
        <v>46071</v>
      </c>
      <c r="S5" s="23">
        <f t="shared" ca="1" si="0"/>
        <v>46072</v>
      </c>
      <c r="T5" s="23">
        <f t="shared" ca="1" si="0"/>
        <v>46073</v>
      </c>
      <c r="U5" s="23">
        <f t="shared" ca="1" si="0"/>
        <v>46074</v>
      </c>
      <c r="V5" s="24">
        <f t="shared" ca="1" si="0"/>
        <v>46075</v>
      </c>
      <c r="W5" s="25">
        <f ca="1">V5+1</f>
        <v>46076</v>
      </c>
      <c r="X5" s="23">
        <f ca="1">W5+1</f>
        <v>46077</v>
      </c>
      <c r="Y5" s="23">
        <f t="shared" ca="1" si="0"/>
        <v>46078</v>
      </c>
      <c r="Z5" s="23">
        <f t="shared" ca="1" si="0"/>
        <v>46079</v>
      </c>
      <c r="AA5" s="23">
        <f t="shared" ca="1" si="0"/>
        <v>46080</v>
      </c>
      <c r="AB5" s="23">
        <f t="shared" ca="1" si="0"/>
        <v>46081</v>
      </c>
      <c r="AC5" s="24">
        <f t="shared" ca="1" si="0"/>
        <v>46082</v>
      </c>
      <c r="AD5" s="25">
        <f ca="1">AC5+1</f>
        <v>46083</v>
      </c>
      <c r="AE5" s="23">
        <f ca="1">AD5+1</f>
        <v>46084</v>
      </c>
      <c r="AF5" s="23">
        <f t="shared" ca="1" si="0"/>
        <v>46085</v>
      </c>
      <c r="AG5" s="23">
        <f t="shared" ca="1" si="0"/>
        <v>46086</v>
      </c>
      <c r="AH5" s="23">
        <f t="shared" ca="1" si="0"/>
        <v>46087</v>
      </c>
      <c r="AI5" s="23">
        <f t="shared" ca="1" si="0"/>
        <v>46088</v>
      </c>
      <c r="AJ5" s="24">
        <f t="shared" ca="1" si="0"/>
        <v>46089</v>
      </c>
      <c r="AK5" s="25">
        <f ca="1">AJ5+1</f>
        <v>46090</v>
      </c>
      <c r="AL5" s="23">
        <f ca="1">AK5+1</f>
        <v>46091</v>
      </c>
      <c r="AM5" s="23">
        <f t="shared" ca="1" si="0"/>
        <v>46092</v>
      </c>
      <c r="AN5" s="23">
        <f t="shared" ca="1" si="0"/>
        <v>46093</v>
      </c>
      <c r="AO5" s="23">
        <f t="shared" ca="1" si="0"/>
        <v>46094</v>
      </c>
      <c r="AP5" s="23">
        <f t="shared" ca="1" si="0"/>
        <v>46095</v>
      </c>
      <c r="AQ5" s="24">
        <f t="shared" ca="1" si="0"/>
        <v>46096</v>
      </c>
      <c r="AR5" s="25">
        <f ca="1">AQ5+1</f>
        <v>46097</v>
      </c>
      <c r="AS5" s="23">
        <f ca="1">AR5+1</f>
        <v>46098</v>
      </c>
      <c r="AT5" s="23">
        <f t="shared" ca="1" si="0"/>
        <v>46099</v>
      </c>
      <c r="AU5" s="23">
        <f t="shared" ca="1" si="0"/>
        <v>46100</v>
      </c>
      <c r="AV5" s="23">
        <f t="shared" ca="1" si="0"/>
        <v>46101</v>
      </c>
      <c r="AW5" s="23">
        <f t="shared" ca="1" si="0"/>
        <v>46102</v>
      </c>
      <c r="AX5" s="24">
        <f t="shared" ca="1" si="0"/>
        <v>46103</v>
      </c>
      <c r="AY5" s="25">
        <f ca="1">AX5+1</f>
        <v>46104</v>
      </c>
      <c r="AZ5" s="23">
        <f ca="1">AY5+1</f>
        <v>46105</v>
      </c>
      <c r="BA5" s="23">
        <f t="shared" ref="BA5:BE5" ca="1" si="1">AZ5+1</f>
        <v>46106</v>
      </c>
      <c r="BB5" s="23">
        <f t="shared" ca="1" si="1"/>
        <v>46107</v>
      </c>
      <c r="BC5" s="23">
        <f t="shared" ca="1" si="1"/>
        <v>46108</v>
      </c>
      <c r="BD5" s="23">
        <f t="shared" ca="1" si="1"/>
        <v>46109</v>
      </c>
      <c r="BE5" s="24">
        <f t="shared" ca="1" si="1"/>
        <v>46110</v>
      </c>
      <c r="BF5" s="25">
        <f ca="1">BE5+1</f>
        <v>46111</v>
      </c>
      <c r="BG5" s="23">
        <f ca="1">BF5+1</f>
        <v>46112</v>
      </c>
      <c r="BH5" s="23">
        <f t="shared" ref="BH5:BL5" ca="1" si="2">BG5+1</f>
        <v>46113</v>
      </c>
      <c r="BI5" s="23">
        <f t="shared" ca="1" si="2"/>
        <v>46114</v>
      </c>
      <c r="BJ5" s="23">
        <f t="shared" ca="1" si="2"/>
        <v>46115</v>
      </c>
      <c r="BK5" s="23">
        <f t="shared" ca="1" si="2"/>
        <v>46116</v>
      </c>
      <c r="BL5" s="23">
        <f t="shared" ca="1" si="2"/>
        <v>46117</v>
      </c>
      <c r="BM5" s="25">
        <f ca="1">BL5+1</f>
        <v>46118</v>
      </c>
      <c r="BN5" s="23">
        <f ca="1">BM5+1</f>
        <v>46119</v>
      </c>
      <c r="BO5" s="23">
        <f t="shared" ref="BO5" ca="1" si="3">BN5+1</f>
        <v>46120</v>
      </c>
      <c r="BP5" s="23">
        <f t="shared" ref="BP5" ca="1" si="4">BO5+1</f>
        <v>46121</v>
      </c>
      <c r="BQ5" s="23">
        <f t="shared" ref="BQ5" ca="1" si="5">BP5+1</f>
        <v>46122</v>
      </c>
      <c r="BR5" s="23">
        <f t="shared" ref="BR5" ca="1" si="6">BQ5+1</f>
        <v>46123</v>
      </c>
      <c r="BS5" s="23">
        <f t="shared" ref="BS5" ca="1" si="7">BR5+1</f>
        <v>46124</v>
      </c>
      <c r="BT5" s="25">
        <f ca="1">BS5+1</f>
        <v>46125</v>
      </c>
      <c r="BU5" s="23">
        <f ca="1">BT5+1</f>
        <v>46126</v>
      </c>
      <c r="BV5" s="23">
        <f t="shared" ref="BV5" ca="1" si="8">BU5+1</f>
        <v>46127</v>
      </c>
      <c r="BW5" s="23">
        <f t="shared" ref="BW5" ca="1" si="9">BV5+1</f>
        <v>46128</v>
      </c>
      <c r="BX5" s="23">
        <f t="shared" ref="BX5" ca="1" si="10">BW5+1</f>
        <v>46129</v>
      </c>
      <c r="BY5" s="23">
        <f t="shared" ref="BY5" ca="1" si="11">BX5+1</f>
        <v>46130</v>
      </c>
      <c r="BZ5" s="23">
        <f t="shared" ref="BZ5" ca="1" si="12">BY5+1</f>
        <v>46131</v>
      </c>
      <c r="CA5" s="25">
        <f ca="1">BZ5+1</f>
        <v>46132</v>
      </c>
      <c r="CB5" s="23">
        <f ca="1">CA5+1</f>
        <v>46133</v>
      </c>
      <c r="CC5" s="23">
        <f t="shared" ref="CC5" ca="1" si="13">CB5+1</f>
        <v>46134</v>
      </c>
      <c r="CD5" s="23">
        <f t="shared" ref="CD5" ca="1" si="14">CC5+1</f>
        <v>46135</v>
      </c>
      <c r="CE5" s="23">
        <f t="shared" ref="CE5" ca="1" si="15">CD5+1</f>
        <v>46136</v>
      </c>
      <c r="CF5" s="23">
        <f t="shared" ref="CF5" ca="1" si="16">CE5+1</f>
        <v>46137</v>
      </c>
      <c r="CG5" s="23">
        <f t="shared" ref="CG5" ca="1" si="17">CF5+1</f>
        <v>46138</v>
      </c>
      <c r="CH5" s="25">
        <f ca="1">CG5+1</f>
        <v>46139</v>
      </c>
      <c r="CI5" s="23">
        <f ca="1">CH5+1</f>
        <v>46140</v>
      </c>
      <c r="CJ5" s="23">
        <f t="shared" ref="CJ5" ca="1" si="18">CI5+1</f>
        <v>46141</v>
      </c>
      <c r="CK5" s="23">
        <f t="shared" ref="CK5" ca="1" si="19">CJ5+1</f>
        <v>46142</v>
      </c>
      <c r="CL5" s="23">
        <f t="shared" ref="CL5" ca="1" si="20">CK5+1</f>
        <v>46143</v>
      </c>
      <c r="CM5" s="23">
        <f t="shared" ref="CM5" ca="1" si="21">CL5+1</f>
        <v>46144</v>
      </c>
      <c r="CN5" s="23">
        <f t="shared" ref="CN5" ca="1" si="22">CM5+1</f>
        <v>46145</v>
      </c>
    </row>
    <row r="6" spans="1:92" s="20" customFormat="1" ht="15" customHeight="1" thickBot="1" x14ac:dyDescent="0.2">
      <c r="A6" s="120"/>
      <c r="B6" s="122"/>
      <c r="C6" s="124"/>
      <c r="D6" s="124"/>
      <c r="E6" s="127"/>
      <c r="F6" s="127"/>
      <c r="I6" s="26" t="str">
        <f t="shared" ref="I6:AN6" ca="1" si="23">LEFT(TEXT(I5,"ddd"),1)</f>
        <v>M</v>
      </c>
      <c r="J6" s="27" t="str">
        <f t="shared" ca="1" si="23"/>
        <v>T</v>
      </c>
      <c r="K6" s="27" t="str">
        <f t="shared" ca="1" si="23"/>
        <v>W</v>
      </c>
      <c r="L6" s="27" t="str">
        <f t="shared" ca="1" si="23"/>
        <v>T</v>
      </c>
      <c r="M6" s="27" t="str">
        <f t="shared" ca="1" si="23"/>
        <v>F</v>
      </c>
      <c r="N6" s="27" t="str">
        <f t="shared" ca="1" si="23"/>
        <v>S</v>
      </c>
      <c r="O6" s="27" t="str">
        <f t="shared" ca="1" si="23"/>
        <v>S</v>
      </c>
      <c r="P6" s="27" t="str">
        <f t="shared" ca="1" si="23"/>
        <v>M</v>
      </c>
      <c r="Q6" s="27" t="str">
        <f t="shared" ca="1" si="23"/>
        <v>T</v>
      </c>
      <c r="R6" s="27" t="str">
        <f t="shared" ca="1" si="23"/>
        <v>W</v>
      </c>
      <c r="S6" s="27" t="str">
        <f t="shared" ca="1" si="23"/>
        <v>T</v>
      </c>
      <c r="T6" s="27" t="str">
        <f t="shared" ca="1" si="23"/>
        <v>F</v>
      </c>
      <c r="U6" s="27" t="str">
        <f t="shared" ca="1" si="23"/>
        <v>S</v>
      </c>
      <c r="V6" s="27" t="str">
        <f t="shared" ca="1" si="23"/>
        <v>S</v>
      </c>
      <c r="W6" s="27" t="str">
        <f t="shared" ca="1" si="23"/>
        <v>M</v>
      </c>
      <c r="X6" s="27" t="str">
        <f t="shared" ca="1" si="23"/>
        <v>T</v>
      </c>
      <c r="Y6" s="27" t="str">
        <f t="shared" ca="1" si="23"/>
        <v>W</v>
      </c>
      <c r="Z6" s="27" t="str">
        <f t="shared" ca="1" si="23"/>
        <v>T</v>
      </c>
      <c r="AA6" s="27" t="str">
        <f t="shared" ca="1" si="23"/>
        <v>F</v>
      </c>
      <c r="AB6" s="27" t="str">
        <f t="shared" ca="1" si="23"/>
        <v>S</v>
      </c>
      <c r="AC6" s="27" t="str">
        <f t="shared" ca="1" si="23"/>
        <v>S</v>
      </c>
      <c r="AD6" s="27" t="str">
        <f t="shared" ca="1" si="23"/>
        <v>M</v>
      </c>
      <c r="AE6" s="27" t="str">
        <f t="shared" ca="1" si="23"/>
        <v>T</v>
      </c>
      <c r="AF6" s="27" t="str">
        <f t="shared" ca="1" si="23"/>
        <v>W</v>
      </c>
      <c r="AG6" s="27" t="str">
        <f t="shared" ca="1" si="23"/>
        <v>T</v>
      </c>
      <c r="AH6" s="27" t="str">
        <f t="shared" ca="1" si="23"/>
        <v>F</v>
      </c>
      <c r="AI6" s="27" t="str">
        <f t="shared" ca="1" si="23"/>
        <v>S</v>
      </c>
      <c r="AJ6" s="27" t="str">
        <f t="shared" ca="1" si="23"/>
        <v>S</v>
      </c>
      <c r="AK6" s="27" t="str">
        <f t="shared" ca="1" si="23"/>
        <v>M</v>
      </c>
      <c r="AL6" s="27" t="str">
        <f t="shared" ca="1" si="23"/>
        <v>T</v>
      </c>
      <c r="AM6" s="27" t="str">
        <f t="shared" ca="1" si="23"/>
        <v>W</v>
      </c>
      <c r="AN6" s="27" t="str">
        <f t="shared" ca="1" si="23"/>
        <v>T</v>
      </c>
      <c r="AO6" s="27" t="str">
        <f t="shared" ref="AO6:BL6" ca="1" si="24">LEFT(TEXT(AO5,"ddd"),1)</f>
        <v>F</v>
      </c>
      <c r="AP6" s="27" t="str">
        <f t="shared" ca="1" si="24"/>
        <v>S</v>
      </c>
      <c r="AQ6" s="27" t="str">
        <f t="shared" ca="1" si="24"/>
        <v>S</v>
      </c>
      <c r="AR6" s="27" t="str">
        <f t="shared" ca="1" si="24"/>
        <v>M</v>
      </c>
      <c r="AS6" s="27" t="str">
        <f t="shared" ca="1" si="24"/>
        <v>T</v>
      </c>
      <c r="AT6" s="27" t="str">
        <f t="shared" ca="1" si="24"/>
        <v>W</v>
      </c>
      <c r="AU6" s="27" t="str">
        <f t="shared" ca="1" si="24"/>
        <v>T</v>
      </c>
      <c r="AV6" s="27" t="str">
        <f t="shared" ca="1" si="24"/>
        <v>F</v>
      </c>
      <c r="AW6" s="27" t="str">
        <f t="shared" ca="1" si="24"/>
        <v>S</v>
      </c>
      <c r="AX6" s="27" t="str">
        <f t="shared" ca="1" si="24"/>
        <v>S</v>
      </c>
      <c r="AY6" s="27" t="str">
        <f t="shared" ca="1" si="24"/>
        <v>M</v>
      </c>
      <c r="AZ6" s="27" t="str">
        <f t="shared" ca="1" si="24"/>
        <v>T</v>
      </c>
      <c r="BA6" s="27" t="str">
        <f t="shared" ca="1" si="24"/>
        <v>W</v>
      </c>
      <c r="BB6" s="27" t="str">
        <f t="shared" ca="1" si="24"/>
        <v>T</v>
      </c>
      <c r="BC6" s="27" t="str">
        <f t="shared" ca="1" si="24"/>
        <v>F</v>
      </c>
      <c r="BD6" s="27" t="str">
        <f t="shared" ca="1" si="24"/>
        <v>S</v>
      </c>
      <c r="BE6" s="27" t="str">
        <f t="shared" ca="1" si="24"/>
        <v>S</v>
      </c>
      <c r="BF6" s="27" t="str">
        <f t="shared" ca="1" si="24"/>
        <v>M</v>
      </c>
      <c r="BG6" s="27" t="str">
        <f t="shared" ca="1" si="24"/>
        <v>T</v>
      </c>
      <c r="BH6" s="27" t="str">
        <f t="shared" ca="1" si="24"/>
        <v>W</v>
      </c>
      <c r="BI6" s="27" t="str">
        <f t="shared" ca="1" si="24"/>
        <v>T</v>
      </c>
      <c r="BJ6" s="27" t="str">
        <f t="shared" ca="1" si="24"/>
        <v>F</v>
      </c>
      <c r="BK6" s="27" t="str">
        <f t="shared" ca="1" si="24"/>
        <v>S</v>
      </c>
      <c r="BL6" s="28" t="str">
        <f t="shared" ca="1" si="24"/>
        <v>S</v>
      </c>
      <c r="BM6" s="27" t="str">
        <f t="shared" ref="BM6:BS6" ca="1" si="25">LEFT(TEXT(BM5,"ddd"),1)</f>
        <v>M</v>
      </c>
      <c r="BN6" s="27" t="str">
        <f t="shared" ca="1" si="25"/>
        <v>T</v>
      </c>
      <c r="BO6" s="27" t="str">
        <f t="shared" ca="1" si="25"/>
        <v>W</v>
      </c>
      <c r="BP6" s="27" t="str">
        <f t="shared" ca="1" si="25"/>
        <v>T</v>
      </c>
      <c r="BQ6" s="27" t="str">
        <f t="shared" ca="1" si="25"/>
        <v>F</v>
      </c>
      <c r="BR6" s="27" t="str">
        <f t="shared" ca="1" si="25"/>
        <v>S</v>
      </c>
      <c r="BS6" s="28" t="str">
        <f t="shared" ca="1" si="25"/>
        <v>S</v>
      </c>
      <c r="BT6" s="27" t="str">
        <f t="shared" ref="BT6:BZ6" ca="1" si="26">LEFT(TEXT(BT5,"ddd"),1)</f>
        <v>M</v>
      </c>
      <c r="BU6" s="27" t="str">
        <f t="shared" ca="1" si="26"/>
        <v>T</v>
      </c>
      <c r="BV6" s="27" t="str">
        <f t="shared" ca="1" si="26"/>
        <v>W</v>
      </c>
      <c r="BW6" s="27" t="str">
        <f t="shared" ca="1" si="26"/>
        <v>T</v>
      </c>
      <c r="BX6" s="27" t="str">
        <f t="shared" ca="1" si="26"/>
        <v>F</v>
      </c>
      <c r="BY6" s="27" t="str">
        <f t="shared" ca="1" si="26"/>
        <v>S</v>
      </c>
      <c r="BZ6" s="28" t="str">
        <f t="shared" ca="1" si="26"/>
        <v>S</v>
      </c>
      <c r="CA6" s="27" t="str">
        <f t="shared" ref="CA6:CG6" ca="1" si="27">LEFT(TEXT(CA5,"ddd"),1)</f>
        <v>M</v>
      </c>
      <c r="CB6" s="27" t="str">
        <f t="shared" ca="1" si="27"/>
        <v>T</v>
      </c>
      <c r="CC6" s="27" t="str">
        <f t="shared" ca="1" si="27"/>
        <v>W</v>
      </c>
      <c r="CD6" s="27" t="str">
        <f t="shared" ca="1" si="27"/>
        <v>T</v>
      </c>
      <c r="CE6" s="27" t="str">
        <f t="shared" ca="1" si="27"/>
        <v>F</v>
      </c>
      <c r="CF6" s="27" t="str">
        <f t="shared" ca="1" si="27"/>
        <v>S</v>
      </c>
      <c r="CG6" s="28" t="str">
        <f t="shared" ca="1" si="27"/>
        <v>S</v>
      </c>
      <c r="CH6" s="27" t="str">
        <f t="shared" ref="CH6:CN6" ca="1" si="28">LEFT(TEXT(CH5,"ddd"),1)</f>
        <v>M</v>
      </c>
      <c r="CI6" s="27" t="str">
        <f t="shared" ca="1" si="28"/>
        <v>T</v>
      </c>
      <c r="CJ6" s="27" t="str">
        <f t="shared" ca="1" si="28"/>
        <v>W</v>
      </c>
      <c r="CK6" s="27" t="str">
        <f t="shared" ca="1" si="28"/>
        <v>T</v>
      </c>
      <c r="CL6" s="27" t="str">
        <f t="shared" ca="1" si="28"/>
        <v>F</v>
      </c>
      <c r="CM6" s="27" t="str">
        <f t="shared" ca="1" si="28"/>
        <v>S</v>
      </c>
      <c r="CN6" s="28" t="str">
        <f t="shared" ca="1" si="28"/>
        <v>S</v>
      </c>
    </row>
    <row r="7" spans="1:92" s="20" customFormat="1" ht="30" hidden="1" customHeight="1" thickBot="1" x14ac:dyDescent="0.2">
      <c r="A7" s="12" t="s">
        <v>11</v>
      </c>
      <c r="B7" s="29"/>
      <c r="C7" s="30"/>
      <c r="D7" s="29"/>
      <c r="E7" s="90"/>
      <c r="F7" s="90"/>
      <c r="H7" s="20"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row>
    <row r="8" spans="1:92" s="36" customFormat="1" ht="30" customHeight="1" thickBot="1" x14ac:dyDescent="0.2">
      <c r="A8" s="82"/>
      <c r="B8" s="32" t="s">
        <v>27</v>
      </c>
      <c r="C8" s="33"/>
      <c r="D8" s="34"/>
      <c r="E8" s="91"/>
      <c r="F8" s="92"/>
      <c r="G8" s="14"/>
      <c r="H8" s="4" t="str">
        <f t="shared" ref="H8:H18" si="29">IF(OR(ISBLANK(task_start),ISBLANK(task_end)),"",task_end-task_start+1)</f>
        <v/>
      </c>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row>
    <row r="9" spans="1:92" s="36" customFormat="1" ht="30" customHeight="1" thickBot="1" x14ac:dyDescent="0.2">
      <c r="A9" s="82"/>
      <c r="B9" s="37" t="s">
        <v>28</v>
      </c>
      <c r="C9" s="38"/>
      <c r="D9" s="39">
        <v>0</v>
      </c>
      <c r="E9" s="93">
        <f ca="1">Project_Start</f>
        <v>46064</v>
      </c>
      <c r="F9" s="93">
        <f ca="1">E9+58</f>
        <v>46122</v>
      </c>
      <c r="G9" s="14"/>
      <c r="H9" s="4">
        <f t="shared" ca="1" si="29"/>
        <v>59</v>
      </c>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row>
    <row r="10" spans="1:92" s="36" customFormat="1" ht="30" customHeight="1" thickBot="1" x14ac:dyDescent="0.2">
      <c r="A10" s="82"/>
      <c r="B10" s="41" t="s">
        <v>29</v>
      </c>
      <c r="C10" s="42"/>
      <c r="D10" s="43">
        <v>0</v>
      </c>
      <c r="E10" s="93">
        <f ca="1">Project_Start</f>
        <v>46064</v>
      </c>
      <c r="F10" s="93">
        <f ca="1">E10+58</f>
        <v>46122</v>
      </c>
      <c r="G10" s="14"/>
      <c r="H10" s="4">
        <f t="shared" ca="1" si="29"/>
        <v>59</v>
      </c>
      <c r="I10" s="40"/>
      <c r="J10" s="40"/>
      <c r="K10" s="40"/>
      <c r="L10" s="40"/>
      <c r="M10" s="40"/>
      <c r="N10" s="40"/>
      <c r="O10" s="40"/>
      <c r="P10" s="40"/>
      <c r="Q10" s="40"/>
      <c r="R10" s="40"/>
      <c r="S10" s="40"/>
      <c r="T10" s="40"/>
      <c r="U10" s="44"/>
      <c r="V10" s="44"/>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row>
    <row r="11" spans="1:92" s="36" customFormat="1" ht="30" customHeight="1" thickBot="1" x14ac:dyDescent="0.2">
      <c r="A11" s="12"/>
      <c r="B11" s="41" t="s">
        <v>30</v>
      </c>
      <c r="C11" s="42"/>
      <c r="D11" s="43">
        <v>0</v>
      </c>
      <c r="E11" s="93">
        <f ca="1">Project_Start</f>
        <v>46064</v>
      </c>
      <c r="F11" s="93">
        <f ca="1">E11+58</f>
        <v>46122</v>
      </c>
      <c r="G11" s="14"/>
      <c r="H11" s="4">
        <f t="shared" ca="1" si="29"/>
        <v>59</v>
      </c>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row>
    <row r="12" spans="1:92" s="36" customFormat="1" ht="30" customHeight="1" thickBot="1" x14ac:dyDescent="0.2">
      <c r="A12" s="12"/>
      <c r="B12" s="41" t="s">
        <v>31</v>
      </c>
      <c r="C12" s="42"/>
      <c r="D12" s="43">
        <v>0</v>
      </c>
      <c r="E12" s="93">
        <f ca="1">Project_Start</f>
        <v>46064</v>
      </c>
      <c r="F12" s="93">
        <f ca="1">E12+58</f>
        <v>46122</v>
      </c>
      <c r="G12" s="14"/>
      <c r="H12" s="4">
        <f t="shared" ca="1" si="29"/>
        <v>59</v>
      </c>
      <c r="I12" s="40"/>
      <c r="J12" s="40"/>
      <c r="K12" s="40"/>
      <c r="L12" s="40"/>
      <c r="M12" s="40"/>
      <c r="N12" s="40"/>
      <c r="O12" s="40"/>
      <c r="P12" s="40"/>
      <c r="Q12" s="40"/>
      <c r="R12" s="40"/>
      <c r="S12" s="40"/>
      <c r="T12" s="40"/>
      <c r="U12" s="40"/>
      <c r="V12" s="40"/>
      <c r="W12" s="40"/>
      <c r="X12" s="40"/>
      <c r="Y12" s="44"/>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row>
    <row r="13" spans="1:92" s="36" customFormat="1" ht="30" customHeight="1" thickBot="1" x14ac:dyDescent="0.2">
      <c r="A13" s="12"/>
      <c r="B13" s="41" t="s">
        <v>32</v>
      </c>
      <c r="C13" s="42"/>
      <c r="D13" s="43">
        <v>0</v>
      </c>
      <c r="E13" s="93">
        <f ca="1">Project_Start</f>
        <v>46064</v>
      </c>
      <c r="F13" s="93">
        <f ca="1">E13+58</f>
        <v>46122</v>
      </c>
      <c r="G13" s="14"/>
      <c r="H13" s="4">
        <f t="shared" ca="1" si="29"/>
        <v>59</v>
      </c>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row>
    <row r="14" spans="1:92" s="36" customFormat="1" ht="30" customHeight="1" thickBot="1" x14ac:dyDescent="0.2">
      <c r="A14" s="12"/>
      <c r="B14" s="41" t="s">
        <v>42</v>
      </c>
      <c r="C14" s="42"/>
      <c r="D14" s="43">
        <v>0</v>
      </c>
      <c r="E14" s="93">
        <f ca="1">F13+1</f>
        <v>46123</v>
      </c>
      <c r="F14" s="93">
        <f ca="1">E14+7</f>
        <v>46130</v>
      </c>
      <c r="G14" s="14"/>
      <c r="H14" s="4">
        <f t="shared" ca="1" si="29"/>
        <v>8</v>
      </c>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row>
    <row r="15" spans="1:92" s="36" customFormat="1" ht="30" customHeight="1" thickBot="1" x14ac:dyDescent="0.2">
      <c r="A15" s="82"/>
      <c r="B15" s="32" t="s">
        <v>33</v>
      </c>
      <c r="C15" s="33"/>
      <c r="D15" s="34"/>
      <c r="E15" s="91"/>
      <c r="F15" s="92"/>
      <c r="G15" s="14"/>
      <c r="H15" s="4" t="str">
        <f t="shared" si="29"/>
        <v/>
      </c>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row>
    <row r="16" spans="1:92" s="36" customFormat="1" ht="30" customHeight="1" thickBot="1" x14ac:dyDescent="0.2">
      <c r="A16" s="82"/>
      <c r="B16" s="37" t="s">
        <v>36</v>
      </c>
      <c r="C16" s="38"/>
      <c r="D16" s="39">
        <v>1</v>
      </c>
      <c r="E16" s="93">
        <f ca="1">Project_Start</f>
        <v>46064</v>
      </c>
      <c r="F16" s="93">
        <f ca="1">E16+58</f>
        <v>46122</v>
      </c>
      <c r="G16" s="14"/>
      <c r="H16" s="4">
        <f t="shared" ca="1" si="29"/>
        <v>59</v>
      </c>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row>
    <row r="17" spans="1:92" s="36" customFormat="1" ht="30" customHeight="1" thickBot="1" x14ac:dyDescent="0.2">
      <c r="A17" s="82"/>
      <c r="B17" s="41" t="s">
        <v>34</v>
      </c>
      <c r="C17" s="42"/>
      <c r="D17" s="43">
        <v>0</v>
      </c>
      <c r="E17" s="93">
        <f ca="1">Project_Start</f>
        <v>46064</v>
      </c>
      <c r="F17" s="93">
        <f ca="1">E17+58</f>
        <v>46122</v>
      </c>
      <c r="G17" s="14"/>
      <c r="H17" s="4">
        <f t="shared" ca="1" si="29"/>
        <v>59</v>
      </c>
      <c r="I17" s="40"/>
      <c r="J17" s="40"/>
      <c r="K17" s="40"/>
      <c r="L17" s="40"/>
      <c r="M17" s="40"/>
      <c r="N17" s="40"/>
      <c r="O17" s="40"/>
      <c r="P17" s="40"/>
      <c r="Q17" s="40"/>
      <c r="R17" s="40"/>
      <c r="S17" s="40"/>
      <c r="T17" s="40"/>
      <c r="U17" s="44"/>
      <c r="V17" s="44"/>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row>
    <row r="18" spans="1:92" s="36" customFormat="1" ht="30" customHeight="1" thickBot="1" x14ac:dyDescent="0.2">
      <c r="A18" s="12"/>
      <c r="B18" s="41" t="s">
        <v>35</v>
      </c>
      <c r="C18" s="42"/>
      <c r="D18" s="43">
        <v>0</v>
      </c>
      <c r="E18" s="93">
        <f ca="1">F17+1</f>
        <v>46123</v>
      </c>
      <c r="F18" s="94">
        <f ca="1">E18+7</f>
        <v>46130</v>
      </c>
      <c r="G18" s="14"/>
      <c r="H18" s="4">
        <f t="shared" ca="1" si="29"/>
        <v>8</v>
      </c>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row>
    <row r="19" spans="1:92" s="36" customFormat="1" ht="30" customHeight="1" thickBot="1" x14ac:dyDescent="0.2">
      <c r="A19" s="82"/>
      <c r="B19" s="32" t="s">
        <v>37</v>
      </c>
      <c r="C19" s="33"/>
      <c r="D19" s="34"/>
      <c r="E19" s="91"/>
      <c r="F19" s="92"/>
      <c r="G19" s="14"/>
      <c r="H19" s="4" t="str">
        <f t="shared" ref="H19:H50" si="30">IF(OR(ISBLANK(task_start),ISBLANK(task_end)),"",task_end-task_start+1)</f>
        <v/>
      </c>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row>
    <row r="20" spans="1:92" s="36" customFormat="1" ht="30" customHeight="1" thickBot="1" x14ac:dyDescent="0.2">
      <c r="A20" s="82"/>
      <c r="B20" s="37" t="s">
        <v>38</v>
      </c>
      <c r="C20" s="38"/>
      <c r="D20" s="39">
        <v>0.15</v>
      </c>
      <c r="E20" s="93">
        <f ca="1">Project_Start</f>
        <v>46064</v>
      </c>
      <c r="F20" s="93">
        <f ca="1">E20+58</f>
        <v>46122</v>
      </c>
      <c r="G20" s="14"/>
      <c r="H20" s="4">
        <f t="shared" ca="1" si="30"/>
        <v>59</v>
      </c>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row>
    <row r="21" spans="1:92" s="36" customFormat="1" ht="30" customHeight="1" thickBot="1" x14ac:dyDescent="0.2">
      <c r="A21" s="82"/>
      <c r="B21" s="37" t="s">
        <v>53</v>
      </c>
      <c r="C21" s="38"/>
      <c r="D21" s="39"/>
      <c r="E21" s="93">
        <f ca="1">Project_Start</f>
        <v>46064</v>
      </c>
      <c r="F21" s="93">
        <f ca="1">E21+58</f>
        <v>46122</v>
      </c>
      <c r="G21" s="14"/>
      <c r="H21" s="4"/>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row>
    <row r="22" spans="1:92" s="36" customFormat="1" ht="30" customHeight="1" thickBot="1" x14ac:dyDescent="0.2">
      <c r="A22" s="82"/>
      <c r="B22" s="41" t="s">
        <v>54</v>
      </c>
      <c r="C22" s="42"/>
      <c r="D22" s="43">
        <v>0</v>
      </c>
      <c r="E22" s="93">
        <f ca="1">F21+1</f>
        <v>46123</v>
      </c>
      <c r="F22" s="94">
        <f ca="1">E22+7</f>
        <v>46130</v>
      </c>
      <c r="G22" s="14"/>
      <c r="H22" s="4">
        <f t="shared" ca="1" si="30"/>
        <v>8</v>
      </c>
      <c r="I22" s="40"/>
      <c r="J22" s="40"/>
      <c r="K22" s="40"/>
      <c r="L22" s="40"/>
      <c r="M22" s="40"/>
      <c r="N22" s="40"/>
      <c r="O22" s="40"/>
      <c r="P22" s="40"/>
      <c r="Q22" s="40"/>
      <c r="R22" s="40"/>
      <c r="S22" s="40"/>
      <c r="T22" s="40"/>
      <c r="U22" s="44"/>
      <c r="V22" s="44"/>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row>
    <row r="23" spans="1:92" s="36" customFormat="1" ht="30" customHeight="1" thickBot="1" x14ac:dyDescent="0.2">
      <c r="A23" s="82"/>
      <c r="B23" s="45" t="s">
        <v>55</v>
      </c>
      <c r="C23" s="46"/>
      <c r="D23" s="47"/>
      <c r="E23" s="95"/>
      <c r="F23" s="96"/>
      <c r="G23" s="14"/>
      <c r="H23" s="4" t="str">
        <f t="shared" si="30"/>
        <v/>
      </c>
    </row>
    <row r="24" spans="1:92" s="36" customFormat="1" ht="30" customHeight="1" thickBot="1" x14ac:dyDescent="0.2">
      <c r="A24" s="82"/>
      <c r="B24" s="48" t="s">
        <v>28</v>
      </c>
      <c r="C24" s="49"/>
      <c r="D24" s="50">
        <v>0.5</v>
      </c>
      <c r="E24" s="97">
        <f ca="1">Project_Start</f>
        <v>46064</v>
      </c>
      <c r="F24" s="97">
        <f ca="1">E24+20</f>
        <v>46084</v>
      </c>
      <c r="G24" s="14"/>
      <c r="H24" s="4">
        <f t="shared" ca="1" si="30"/>
        <v>21</v>
      </c>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row>
    <row r="25" spans="1:92" s="36" customFormat="1" ht="30" customHeight="1" thickBot="1" x14ac:dyDescent="0.2">
      <c r="A25" s="12"/>
      <c r="B25" s="48" t="s">
        <v>39</v>
      </c>
      <c r="C25" s="49"/>
      <c r="D25" s="50">
        <v>0.85</v>
      </c>
      <c r="E25" s="97">
        <f ca="1">Project_Start</f>
        <v>46064</v>
      </c>
      <c r="F25" s="97">
        <f ca="1">E25+9</f>
        <v>46073</v>
      </c>
      <c r="G25" s="14"/>
      <c r="H25" s="4">
        <f t="shared" ca="1" si="30"/>
        <v>10</v>
      </c>
      <c r="I25" s="40"/>
      <c r="J25" s="40"/>
      <c r="K25" s="40"/>
      <c r="L25" s="40"/>
      <c r="M25" s="40"/>
      <c r="N25" s="40"/>
      <c r="O25" s="40"/>
      <c r="P25" s="40"/>
      <c r="Q25" s="40"/>
      <c r="R25" s="40"/>
      <c r="S25" s="40"/>
      <c r="T25" s="40"/>
      <c r="U25" s="44"/>
      <c r="V25" s="44"/>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row>
    <row r="26" spans="1:92" s="36" customFormat="1" ht="30" customHeight="1" thickBot="1" x14ac:dyDescent="0.2">
      <c r="A26" s="12"/>
      <c r="B26" s="48" t="s">
        <v>30</v>
      </c>
      <c r="C26" s="49"/>
      <c r="D26" s="50">
        <v>0</v>
      </c>
      <c r="E26" s="97">
        <v>46083</v>
      </c>
      <c r="F26" s="97">
        <f>E26+10</f>
        <v>46093</v>
      </c>
      <c r="G26" s="14"/>
      <c r="H26" s="4">
        <f t="shared" si="30"/>
        <v>11</v>
      </c>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row>
    <row r="27" spans="1:92" s="36" customFormat="1" ht="30" customHeight="1" thickBot="1" x14ac:dyDescent="0.2">
      <c r="A27" s="12"/>
      <c r="B27" s="48" t="s">
        <v>31</v>
      </c>
      <c r="C27" s="49"/>
      <c r="D27" s="50">
        <v>0</v>
      </c>
      <c r="E27" s="97">
        <f>F26+1</f>
        <v>46094</v>
      </c>
      <c r="F27" s="97">
        <f>E27+7</f>
        <v>46101</v>
      </c>
      <c r="G27" s="14"/>
      <c r="H27" s="4">
        <f t="shared" si="30"/>
        <v>8</v>
      </c>
      <c r="I27" s="40"/>
      <c r="J27" s="40"/>
      <c r="K27" s="40"/>
      <c r="L27" s="40"/>
      <c r="M27" s="40"/>
      <c r="N27" s="40"/>
      <c r="O27" s="40"/>
      <c r="P27" s="40"/>
      <c r="Q27" s="40"/>
      <c r="R27" s="40"/>
      <c r="S27" s="40"/>
      <c r="T27" s="40"/>
      <c r="U27" s="40"/>
      <c r="V27" s="40"/>
      <c r="W27" s="40"/>
      <c r="X27" s="40"/>
      <c r="Y27" s="44"/>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row>
    <row r="28" spans="1:92" s="36" customFormat="1" ht="30" customHeight="1" thickBot="1" x14ac:dyDescent="0.2">
      <c r="A28" s="12"/>
      <c r="B28" s="48" t="s">
        <v>32</v>
      </c>
      <c r="C28" s="49"/>
      <c r="D28" s="50">
        <v>0</v>
      </c>
      <c r="E28" s="97">
        <f>E27</f>
        <v>46094</v>
      </c>
      <c r="F28" s="97">
        <f>E28+7</f>
        <v>46101</v>
      </c>
      <c r="G28" s="14"/>
      <c r="H28" s="4">
        <f t="shared" si="30"/>
        <v>8</v>
      </c>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row>
    <row r="29" spans="1:92" s="36" customFormat="1" ht="30" customHeight="1" thickBot="1" x14ac:dyDescent="0.2">
      <c r="A29" s="12"/>
      <c r="B29" s="48" t="s">
        <v>64</v>
      </c>
      <c r="C29" s="49"/>
      <c r="D29" s="50">
        <v>0</v>
      </c>
      <c r="E29" s="97">
        <f>F27+1</f>
        <v>46102</v>
      </c>
      <c r="F29" s="97">
        <f>E29+7</f>
        <v>46109</v>
      </c>
      <c r="G29" s="14"/>
      <c r="H29" s="4"/>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row>
    <row r="30" spans="1:92" s="36" customFormat="1" ht="30" customHeight="1" thickBot="1" x14ac:dyDescent="0.2">
      <c r="A30" s="12"/>
      <c r="B30" s="48" t="s">
        <v>40</v>
      </c>
      <c r="C30" s="49"/>
      <c r="D30" s="50">
        <v>0</v>
      </c>
      <c r="E30" s="97">
        <f>F28+1</f>
        <v>46102</v>
      </c>
      <c r="F30" s="97">
        <f>E30+7</f>
        <v>46109</v>
      </c>
      <c r="G30" s="14"/>
      <c r="H30" s="4">
        <f t="shared" si="30"/>
        <v>8</v>
      </c>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row>
    <row r="31" spans="1:92" s="36" customFormat="1" ht="30" customHeight="1" thickBot="1" x14ac:dyDescent="0.2">
      <c r="A31" s="12"/>
      <c r="B31" s="48" t="s">
        <v>56</v>
      </c>
      <c r="C31" s="49"/>
      <c r="D31" s="50">
        <v>0.15</v>
      </c>
      <c r="E31" s="97">
        <f>F30+1</f>
        <v>46110</v>
      </c>
      <c r="F31" s="97">
        <f>E31+3</f>
        <v>46113</v>
      </c>
      <c r="G31" s="14"/>
      <c r="H31" s="4">
        <f t="shared" si="30"/>
        <v>4</v>
      </c>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row>
    <row r="32" spans="1:92" s="36" customFormat="1" ht="30" customHeight="1" thickBot="1" x14ac:dyDescent="0.2">
      <c r="A32" s="12"/>
      <c r="B32" s="48" t="s">
        <v>41</v>
      </c>
      <c r="C32" s="49"/>
      <c r="D32" s="50">
        <v>0</v>
      </c>
      <c r="E32" s="97">
        <f>F31+1</f>
        <v>46114</v>
      </c>
      <c r="F32" s="97">
        <f>E32+8</f>
        <v>46122</v>
      </c>
      <c r="G32" s="14"/>
      <c r="H32" s="4">
        <f t="shared" si="30"/>
        <v>9</v>
      </c>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row>
    <row r="33" spans="1:92" s="36" customFormat="1" ht="30" customHeight="1" thickBot="1" x14ac:dyDescent="0.2">
      <c r="A33" s="12"/>
      <c r="B33" s="48" t="s">
        <v>63</v>
      </c>
      <c r="C33" s="49"/>
      <c r="D33" s="50">
        <v>0</v>
      </c>
      <c r="E33" s="97">
        <f>F32+1</f>
        <v>46123</v>
      </c>
      <c r="F33" s="97">
        <f>E33+7</f>
        <v>46130</v>
      </c>
      <c r="G33" s="14"/>
      <c r="H33" s="4">
        <f t="shared" si="30"/>
        <v>8</v>
      </c>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row>
    <row r="34" spans="1:92" s="36" customFormat="1" ht="30" customHeight="1" thickBot="1" x14ac:dyDescent="0.2">
      <c r="A34" s="12"/>
      <c r="B34" s="51" t="s">
        <v>62</v>
      </c>
      <c r="C34" s="52"/>
      <c r="D34" s="53"/>
      <c r="E34" s="98"/>
      <c r="F34" s="99"/>
      <c r="G34" s="14"/>
      <c r="H34" s="4" t="str">
        <f t="shared" si="30"/>
        <v/>
      </c>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row>
    <row r="35" spans="1:92" s="36" customFormat="1" ht="68" customHeight="1" thickBot="1" x14ac:dyDescent="0.2">
      <c r="A35" s="12"/>
      <c r="B35" s="110" t="s">
        <v>44</v>
      </c>
      <c r="C35" s="56"/>
      <c r="D35" s="57">
        <v>0.1</v>
      </c>
      <c r="E35" s="100">
        <f ca="1">Project_Start</f>
        <v>46064</v>
      </c>
      <c r="F35" s="100">
        <f ca="1">E35+14</f>
        <v>46078</v>
      </c>
      <c r="G35" s="14"/>
      <c r="H35" s="4">
        <f t="shared" ca="1" si="30"/>
        <v>15</v>
      </c>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row>
    <row r="36" spans="1:92" s="36" customFormat="1" ht="30" customHeight="1" thickBot="1" x14ac:dyDescent="0.2">
      <c r="A36" s="12"/>
      <c r="B36" s="55" t="s">
        <v>43</v>
      </c>
      <c r="C36" s="56"/>
      <c r="D36" s="57">
        <v>0</v>
      </c>
      <c r="E36" s="100">
        <f ca="1">F35+1</f>
        <v>46079</v>
      </c>
      <c r="F36" s="100">
        <f>F33</f>
        <v>46130</v>
      </c>
      <c r="G36" s="14"/>
      <c r="H36" s="4">
        <f t="shared" ca="1" si="30"/>
        <v>52</v>
      </c>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row>
    <row r="37" spans="1:92" s="36" customFormat="1" ht="30" customHeight="1" thickBot="1" x14ac:dyDescent="0.2">
      <c r="A37" s="12"/>
      <c r="B37" s="51" t="s">
        <v>45</v>
      </c>
      <c r="C37" s="52"/>
      <c r="D37" s="53"/>
      <c r="E37" s="98"/>
      <c r="F37" s="99"/>
      <c r="G37" s="14"/>
      <c r="H37" s="4" t="str">
        <f t="shared" si="30"/>
        <v/>
      </c>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row>
    <row r="38" spans="1:92" s="36" customFormat="1" ht="43" thickBot="1" x14ac:dyDescent="0.2">
      <c r="A38" s="12"/>
      <c r="B38" s="110" t="s">
        <v>46</v>
      </c>
      <c r="C38" s="56"/>
      <c r="D38" s="57">
        <v>0.3</v>
      </c>
      <c r="E38" s="100">
        <f ca="1">Project_Start</f>
        <v>46064</v>
      </c>
      <c r="F38" s="100">
        <f ca="1">E38+21</f>
        <v>46085</v>
      </c>
      <c r="G38" s="14"/>
      <c r="H38" s="4">
        <f t="shared" ca="1" si="30"/>
        <v>22</v>
      </c>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row>
    <row r="39" spans="1:92" s="36" customFormat="1" ht="24" customHeight="1" thickBot="1" x14ac:dyDescent="0.2">
      <c r="A39" s="12"/>
      <c r="B39" s="110" t="s">
        <v>57</v>
      </c>
      <c r="C39" s="56"/>
      <c r="D39" s="57">
        <v>0.3</v>
      </c>
      <c r="E39" s="100">
        <f ca="1">F38</f>
        <v>46085</v>
      </c>
      <c r="F39" s="100">
        <f>F33</f>
        <v>46130</v>
      </c>
      <c r="G39" s="14"/>
      <c r="H39" s="4">
        <f t="shared" ca="1" si="30"/>
        <v>46</v>
      </c>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row>
    <row r="40" spans="1:92" s="36" customFormat="1" ht="35" customHeight="1" thickBot="1" x14ac:dyDescent="0.2">
      <c r="A40" s="12"/>
      <c r="B40" s="55" t="s">
        <v>58</v>
      </c>
      <c r="C40" s="56"/>
      <c r="D40" s="57">
        <v>0</v>
      </c>
      <c r="E40" s="100">
        <f ca="1">F38</f>
        <v>46085</v>
      </c>
      <c r="F40" s="100">
        <f>F33</f>
        <v>46130</v>
      </c>
      <c r="G40" s="14"/>
      <c r="H40" s="4"/>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row>
    <row r="41" spans="1:92" s="36" customFormat="1" ht="30" customHeight="1" thickBot="1" x14ac:dyDescent="0.2">
      <c r="A41" s="12"/>
      <c r="B41" s="55" t="s">
        <v>59</v>
      </c>
      <c r="C41" s="56"/>
      <c r="D41" s="57">
        <v>0</v>
      </c>
      <c r="E41" s="100"/>
      <c r="F41" s="100"/>
      <c r="G41" s="14"/>
      <c r="H41" s="4" t="str">
        <f t="shared" si="30"/>
        <v/>
      </c>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row>
    <row r="42" spans="1:92" s="36" customFormat="1" ht="30" customHeight="1" thickBot="1" x14ac:dyDescent="0.2">
      <c r="A42" s="12"/>
      <c r="B42" s="58" t="s">
        <v>47</v>
      </c>
      <c r="C42" s="59"/>
      <c r="D42" s="60"/>
      <c r="E42" s="101"/>
      <c r="F42" s="102"/>
      <c r="G42" s="14"/>
      <c r="H42" s="4" t="str">
        <f t="shared" si="30"/>
        <v/>
      </c>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row>
    <row r="43" spans="1:92" s="36" customFormat="1" ht="30" customHeight="1" thickBot="1" x14ac:dyDescent="0.2">
      <c r="A43" s="12"/>
      <c r="B43" s="62" t="s">
        <v>61</v>
      </c>
      <c r="C43" s="63"/>
      <c r="D43" s="64">
        <v>0</v>
      </c>
      <c r="E43" s="103">
        <f ca="1">E35</f>
        <v>46064</v>
      </c>
      <c r="F43" s="103">
        <f>E47-3</f>
        <v>46157</v>
      </c>
      <c r="G43" s="14"/>
      <c r="H43" s="4">
        <f t="shared" ca="1" si="30"/>
        <v>94</v>
      </c>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row>
    <row r="44" spans="1:92" s="36" customFormat="1" ht="30" customHeight="1" thickBot="1" x14ac:dyDescent="0.2">
      <c r="A44" s="12"/>
      <c r="B44" s="62" t="s">
        <v>52</v>
      </c>
      <c r="C44" s="63"/>
      <c r="D44" s="64">
        <v>0</v>
      </c>
      <c r="E44" s="103">
        <v>46146</v>
      </c>
      <c r="F44" s="103">
        <f>E44+7</f>
        <v>46153</v>
      </c>
      <c r="G44" s="14"/>
      <c r="H44" s="4">
        <f t="shared" si="30"/>
        <v>8</v>
      </c>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row>
    <row r="45" spans="1:92" s="36" customFormat="1" ht="30" customHeight="1" thickBot="1" x14ac:dyDescent="0.2">
      <c r="A45" s="12"/>
      <c r="B45" s="62" t="s">
        <v>48</v>
      </c>
      <c r="C45" s="63"/>
      <c r="D45" s="64">
        <v>0</v>
      </c>
      <c r="E45" s="103">
        <v>46146</v>
      </c>
      <c r="F45" s="103">
        <f>E45+7</f>
        <v>46153</v>
      </c>
      <c r="G45" s="14"/>
      <c r="H45" s="4">
        <f t="shared" si="30"/>
        <v>8</v>
      </c>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row>
    <row r="46" spans="1:92" s="36" customFormat="1" ht="30" customHeight="1" thickBot="1" x14ac:dyDescent="0.2">
      <c r="A46" s="12"/>
      <c r="B46" s="62" t="s">
        <v>49</v>
      </c>
      <c r="C46" s="63"/>
      <c r="D46" s="64">
        <v>0</v>
      </c>
      <c r="E46" s="103">
        <f>F45</f>
        <v>46153</v>
      </c>
      <c r="F46" s="103">
        <f>E46+7</f>
        <v>46160</v>
      </c>
      <c r="G46" s="14"/>
      <c r="H46" s="4">
        <f t="shared" si="30"/>
        <v>8</v>
      </c>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row>
    <row r="47" spans="1:92" s="36" customFormat="1" ht="30" customHeight="1" thickBot="1" x14ac:dyDescent="0.2">
      <c r="A47" s="12"/>
      <c r="B47" s="62" t="s">
        <v>50</v>
      </c>
      <c r="C47" s="63"/>
      <c r="D47" s="64">
        <v>0</v>
      </c>
      <c r="E47" s="103">
        <f>F46</f>
        <v>46160</v>
      </c>
      <c r="F47" s="103">
        <f>E47+7</f>
        <v>46167</v>
      </c>
      <c r="G47" s="14"/>
      <c r="H47" s="4">
        <f t="shared" si="30"/>
        <v>8</v>
      </c>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row>
    <row r="48" spans="1:92" s="36" customFormat="1" ht="30" customHeight="1" thickBot="1" x14ac:dyDescent="0.2">
      <c r="A48" s="12"/>
      <c r="B48" s="62" t="s">
        <v>51</v>
      </c>
      <c r="C48" s="63"/>
      <c r="D48" s="64">
        <v>0</v>
      </c>
      <c r="E48" s="103">
        <f>F47</f>
        <v>46167</v>
      </c>
      <c r="F48" s="103">
        <f>E48+14</f>
        <v>46181</v>
      </c>
      <c r="G48" s="14"/>
      <c r="H48" s="4">
        <f t="shared" si="30"/>
        <v>15</v>
      </c>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row>
    <row r="49" spans="1:92" s="36" customFormat="1" ht="30" customHeight="1" thickBot="1" x14ac:dyDescent="0.2">
      <c r="A49" s="12"/>
      <c r="B49" s="65" t="s">
        <v>60</v>
      </c>
      <c r="C49" s="66"/>
      <c r="D49" s="67"/>
      <c r="E49" s="104"/>
      <c r="F49" s="104"/>
      <c r="G49" s="14"/>
      <c r="H49" s="4" t="str">
        <f t="shared" si="30"/>
        <v/>
      </c>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row>
    <row r="50" spans="1:92" s="36" customFormat="1" ht="30" customHeight="1" thickBot="1" x14ac:dyDescent="0.2">
      <c r="A50" s="82"/>
      <c r="B50" s="68" t="s">
        <v>12</v>
      </c>
      <c r="C50" s="69"/>
      <c r="D50" s="70"/>
      <c r="E50" s="105"/>
      <c r="F50" s="106"/>
      <c r="G50" s="14"/>
      <c r="H50" s="5" t="str">
        <f t="shared" si="30"/>
        <v/>
      </c>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1"/>
      <c r="BZ50" s="71"/>
      <c r="CA50" s="71"/>
      <c r="CB50" s="71"/>
      <c r="CC50" s="71"/>
      <c r="CD50" s="71"/>
      <c r="CE50" s="71"/>
      <c r="CF50" s="71"/>
      <c r="CG50" s="71"/>
      <c r="CH50" s="71"/>
      <c r="CI50" s="71"/>
      <c r="CJ50" s="71"/>
      <c r="CK50" s="71"/>
      <c r="CL50" s="71"/>
      <c r="CM50" s="71"/>
      <c r="CN50" s="71"/>
    </row>
    <row r="51" spans="1:92" ht="30" customHeight="1" x14ac:dyDescent="0.15">
      <c r="G51" s="2"/>
    </row>
    <row r="52" spans="1:92" ht="30" customHeight="1" x14ac:dyDescent="0.15">
      <c r="C52" s="13"/>
      <c r="F52" s="109"/>
    </row>
    <row r="53" spans="1:92" ht="30" customHeight="1" x14ac:dyDescent="0.15">
      <c r="C53" s="3"/>
    </row>
  </sheetData>
  <mergeCells count="22">
    <mergeCell ref="F5:F6"/>
    <mergeCell ref="A5:A6"/>
    <mergeCell ref="B5:B6"/>
    <mergeCell ref="C5:C6"/>
    <mergeCell ref="D5:D6"/>
    <mergeCell ref="E5:E6"/>
    <mergeCell ref="CH4:CN4"/>
    <mergeCell ref="Q2:Z2"/>
    <mergeCell ref="Q1:Z1"/>
    <mergeCell ref="I1:O1"/>
    <mergeCell ref="I2:O2"/>
    <mergeCell ref="BF4:BL4"/>
    <mergeCell ref="I4:O4"/>
    <mergeCell ref="P4:V4"/>
    <mergeCell ref="W4:AC4"/>
    <mergeCell ref="AD4:AJ4"/>
    <mergeCell ref="AK4:AQ4"/>
    <mergeCell ref="AR4:AX4"/>
    <mergeCell ref="AY4:BE4"/>
    <mergeCell ref="BM4:BS4"/>
    <mergeCell ref="BT4:BZ4"/>
    <mergeCell ref="CA4:CG4"/>
  </mergeCells>
  <conditionalFormatting sqref="D7:D50">
    <cfRule type="dataBar" priority="10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24:BK31 I32:BM33">
    <cfRule type="expression" dxfId="44" priority="84" stopIfTrue="1">
      <formula>AND(task_end&gt;=I$5,task_start&lt;J$5)</formula>
    </cfRule>
  </conditionalFormatting>
  <conditionalFormatting sqref="I33:BK45 I4:BK8 I9:BZ10 BL14 I14:BK16 I19:BK21 I23:BK31 I32:BM32 BL33:BM33 BL36 BL40:BZ40 BL43:CA43 I47:BK48">
    <cfRule type="expression" dxfId="43" priority="80">
      <formula>AND(TODAY()&gt;=I$5, TODAY()&lt;J$5)</formula>
    </cfRule>
  </conditionalFormatting>
  <conditionalFormatting sqref="I35:BK36 BL36 I39:BK41 BL40:BZ40">
    <cfRule type="expression" dxfId="42" priority="82" stopIfTrue="1">
      <formula>AND(task_end&gt;=I$5,task_start&lt;J$5)</formula>
    </cfRule>
  </conditionalFormatting>
  <conditionalFormatting sqref="I38:BK38">
    <cfRule type="expression" dxfId="41" priority="22" stopIfTrue="1">
      <formula>AND(task_end&gt;=I$5,task_start&lt;J$5)</formula>
    </cfRule>
  </conditionalFormatting>
  <conditionalFormatting sqref="I9:BZ10 I14:BL14 I16:BL16 I20:CC21">
    <cfRule type="expression" dxfId="40" priority="86" stopIfTrue="1">
      <formula>AND(task_end&gt;=I$5,task_start&lt;J$5)</formula>
    </cfRule>
  </conditionalFormatting>
  <conditionalFormatting sqref="I9:CN14 I16:CN18 I20:CN22">
    <cfRule type="expression" dxfId="39" priority="28">
      <formula>AND(task_start&lt;=I$5,ROUNDDOWN((task_end-task_start+1)*task_progress,0)+task_start-1&gt;=I$5)</formula>
    </cfRule>
  </conditionalFormatting>
  <conditionalFormatting sqref="I24:CN33">
    <cfRule type="expression" dxfId="38" priority="26">
      <formula>AND(task_start&lt;=I$5,ROUNDDOWN((task_end-task_start+1)*task_progress,0)+task_start-1&gt;=I$5)</formula>
    </cfRule>
  </conditionalFormatting>
  <conditionalFormatting sqref="I35:CN36">
    <cfRule type="expression" dxfId="37" priority="24">
      <formula>AND(task_start&lt;=I$5,ROUNDDOWN((task_end-task_start+1)*task_progress,0)+task_start-1&gt;=I$5)</formula>
    </cfRule>
  </conditionalFormatting>
  <conditionalFormatting sqref="I38:CN41">
    <cfRule type="expression" dxfId="36" priority="15">
      <formula>AND(task_start&lt;=I$5,ROUNDDOWN((task_end-task_start+1)*task_progress,0)+task_start-1&gt;=I$5)</formula>
    </cfRule>
  </conditionalFormatting>
  <conditionalFormatting sqref="BL24:BL31 BS24:BS31 BZ24:BZ32 CG24:CG33 CN24:CN33 BS33">
    <cfRule type="expression" dxfId="35" priority="121" stopIfTrue="1">
      <formula>AND(task_end&gt;=BL$5,task_start&lt;#REF!)</formula>
    </cfRule>
  </conditionalFormatting>
  <conditionalFormatting sqref="BL35 BS35 BZ35 CG35:CG36 CN35:CN36 BL38 BS38 BZ38 CG38:CG41 CN38:CN41 BL41 BS41 BZ41">
    <cfRule type="expression" dxfId="34" priority="123" stopIfTrue="1">
      <formula>AND(task_end&gt;=BL$5,task_start&lt;#REF!)</formula>
    </cfRule>
  </conditionalFormatting>
  <conditionalFormatting sqref="BL43:CA43 I43:BK45 I47:BK48">
    <cfRule type="expression" dxfId="33" priority="115">
      <formula>AND(task_start&lt;=I$5,ROUNDDOWN((task_end-task_start+1)*task_progress,0)+task_start-1&gt;=I$5)</formula>
    </cfRule>
    <cfRule type="expression" dxfId="32" priority="116" stopIfTrue="1">
      <formula>AND(task_end&gt;=I$5,task_start&lt;J$5)</formula>
    </cfRule>
  </conditionalFormatting>
  <conditionalFormatting sqref="BM24:BR31 BN32:BS33">
    <cfRule type="expression" dxfId="31" priority="45" stopIfTrue="1">
      <formula>AND(task_end&gt;=BM$5,task_start&lt;BN$5)</formula>
    </cfRule>
  </conditionalFormatting>
  <conditionalFormatting sqref="BM35:BR36 BM41:BR41">
    <cfRule type="expression" dxfId="30" priority="43" stopIfTrue="1">
      <formula>AND(task_end&gt;=BM$5,task_start&lt;BN$5)</formula>
    </cfRule>
  </conditionalFormatting>
  <conditionalFormatting sqref="BM38:BR38">
    <cfRule type="expression" dxfId="29" priority="20" stopIfTrue="1">
      <formula>AND(task_end&gt;=BM$5,task_start&lt;BN$5)</formula>
    </cfRule>
  </conditionalFormatting>
  <conditionalFormatting sqref="BM14:BT14">
    <cfRule type="expression" dxfId="28" priority="47" stopIfTrue="1">
      <formula>AND(task_end&gt;=BM$5,task_start&lt;BN$5)</formula>
    </cfRule>
  </conditionalFormatting>
  <conditionalFormatting sqref="BM44:BT45 I46:BR46">
    <cfRule type="expression" dxfId="27" priority="48">
      <formula>AND(task_start&lt;=I$5,ROUNDDOWN((task_end-task_start+1)*task_progress,0)+task_start-1&gt;=I$5)</formula>
    </cfRule>
    <cfRule type="expression" dxfId="26" priority="49" stopIfTrue="1">
      <formula>AND(task_end&gt;=I$5,task_start&lt;J$5)</formula>
    </cfRule>
  </conditionalFormatting>
  <conditionalFormatting sqref="BS14:BS15 BS33:BS35 BL4:BL8 BS4:BS8 BZ4:BZ8 CG4:CG42 CN4:CN48 BL15 BZ15 BL19 BS19 BZ19 BL23:BL31 BS23:BS31 BZ23:BZ32 BL34:BL35 BZ34:BZ35 BL37:BL38 BS37:BS38 BZ37:BZ38 BL41:BL42 BS41:BS42 BZ41:BZ42 BL44:BL45 CG44:CG47 BS46 BL47 BZ47">
    <cfRule type="expression" dxfId="25" priority="117">
      <formula>AND(TODAY()&gt;=BL$5, TODAY()&lt;#REF!)</formula>
    </cfRule>
  </conditionalFormatting>
  <conditionalFormatting sqref="BS14:BT14 BM34:BR38 BM4:BR8 BM14:BR15 BM19:BR19 BM23:BR31 BN32:BS33 BM41:BR42 BM44:BT45 I46:BR46">
    <cfRule type="expression" dxfId="24" priority="41">
      <formula>AND(TODAY()&gt;=I$5, TODAY()&lt;J$5)</formula>
    </cfRule>
  </conditionalFormatting>
  <conditionalFormatting sqref="BT24:BY33">
    <cfRule type="expression" dxfId="23" priority="36" stopIfTrue="1">
      <formula>AND(task_end&gt;=BT$5,task_start&lt;BU$5)</formula>
    </cfRule>
  </conditionalFormatting>
  <conditionalFormatting sqref="BT35:BY35 BT41:BY41">
    <cfRule type="expression" dxfId="22" priority="34" stopIfTrue="1">
      <formula>AND(task_end&gt;=BT$5,task_start&lt;BU$5)</formula>
    </cfRule>
  </conditionalFormatting>
  <conditionalFormatting sqref="BT37:BY38 BT4:BY8 BZ14 BT14:BY15 BT19:BY19 BT23:BY35 BT41:BY42 BU44:CA44 BM47:BY47">
    <cfRule type="expression" dxfId="21" priority="32">
      <formula>AND(TODAY()&gt;=BM$5, TODAY()&lt;BN$5)</formula>
    </cfRule>
  </conditionalFormatting>
  <conditionalFormatting sqref="BT38:BY38">
    <cfRule type="expression" dxfId="20" priority="18" stopIfTrue="1">
      <formula>AND(task_end&gt;=BT$5,task_start&lt;BU$5)</formula>
    </cfRule>
  </conditionalFormatting>
  <conditionalFormatting sqref="BT14:BZ14">
    <cfRule type="expression" dxfId="19" priority="38" stopIfTrue="1">
      <formula>AND(task_end&gt;=BT$5,task_start&lt;BU$5)</formula>
    </cfRule>
  </conditionalFormatting>
  <conditionalFormatting sqref="BU44:CA44 BM47:BY47">
    <cfRule type="expression" dxfId="18" priority="39">
      <formula>AND(task_start&lt;=BM$5,ROUNDDOWN((task_end-task_start+1)*task_progress,0)+task_start-1&gt;=BM$5)</formula>
    </cfRule>
    <cfRule type="expression" dxfId="17" priority="40" stopIfTrue="1">
      <formula>AND(task_end&gt;=BM$5,task_start&lt;BN$5)</formula>
    </cfRule>
  </conditionalFormatting>
  <conditionalFormatting sqref="CA9:CF10 I11:CF13 CA14:CF14 BM16:CF16 I17:CF18 CD20:CF21 I22:CF22">
    <cfRule type="expression" dxfId="16" priority="29" stopIfTrue="1">
      <formula>AND(task_end&gt;=I$5,task_start&lt;J$5)</formula>
    </cfRule>
  </conditionalFormatting>
  <conditionalFormatting sqref="CA24:CF32 BZ33:CF33">
    <cfRule type="expression" dxfId="15" priority="27" stopIfTrue="1">
      <formula>AND(task_end&gt;=BZ$5,task_start&lt;CA$5)</formula>
    </cfRule>
  </conditionalFormatting>
  <conditionalFormatting sqref="CA35:CF35 BS36:CF36 BL39:CF39 CA40:CF41">
    <cfRule type="expression" dxfId="14" priority="25" stopIfTrue="1">
      <formula>AND(task_end&gt;=BL$5,task_start&lt;BM$5)</formula>
    </cfRule>
  </conditionalFormatting>
  <conditionalFormatting sqref="CA37:CF38 CA4:CF10 I11:CF13 CA14:CF15 BL16:CF16 I17:CF18 CA19:CF19 BL20:CF21 I22:CF22 CA23:CF32 BZ33:CF33 CA34:CF35 BS36:CF36 BL39:CF39 CA40:CF42 CB43:CF44 BU45:CF45 BT46:CF46 CA47:CF47">
    <cfRule type="expression" dxfId="13" priority="23">
      <formula>AND(TODAY()&gt;=I$5, TODAY()&lt;J$5)</formula>
    </cfRule>
  </conditionalFormatting>
  <conditionalFormatting sqref="CA38:CF38">
    <cfRule type="expression" dxfId="12" priority="16" stopIfTrue="1">
      <formula>AND(task_end&gt;=CA$5,task_start&lt;CB$5)</formula>
    </cfRule>
  </conditionalFormatting>
  <conditionalFormatting sqref="CB43:CF44 BU45:CF45 BT46:CF46 CA47:CF47">
    <cfRule type="expression" dxfId="11" priority="30">
      <formula>AND(task_start&lt;=BT$5,ROUNDDOWN((task_end-task_start+1)*task_progress,0)+task_start-1&gt;=BT$5)</formula>
    </cfRule>
    <cfRule type="expression" dxfId="10" priority="31" stopIfTrue="1">
      <formula>AND(task_end&gt;=BT$5,task_start&lt;BU$5)</formula>
    </cfRule>
  </conditionalFormatting>
  <conditionalFormatting sqref="CG9:CG14 CN9:CN14 BS14 CG16:CG18 CN16:CN18 CG20:CG22 CN20:CN22">
    <cfRule type="expression" dxfId="9" priority="119" stopIfTrue="1">
      <formula>AND(task_end&gt;=BS$5,task_start&lt;#REF!)</formula>
    </cfRule>
  </conditionalFormatting>
  <conditionalFormatting sqref="CG43:CM43 CH44:CM47 BL48:CM48">
    <cfRule type="expression" dxfId="8" priority="6">
      <formula>AND(task_start&lt;=BL$5,ROUNDDOWN((task_end-task_start+1)*task_progress,0)+task_start-1&gt;=BL$5)</formula>
    </cfRule>
    <cfRule type="expression" dxfId="7" priority="7" stopIfTrue="1">
      <formula>AND(task_end&gt;=BL$5,task_start&lt;BM$5)</formula>
    </cfRule>
  </conditionalFormatting>
  <conditionalFormatting sqref="CH4:CM42 CG43:CM43 CH44:CM47 BL48:CM48">
    <cfRule type="expression" dxfId="6" priority="2">
      <formula>AND(TODAY()&gt;=BL$5, TODAY()&lt;BM$5)</formula>
    </cfRule>
  </conditionalFormatting>
  <conditionalFormatting sqref="CH9:CM14 CH16:CM18 CH20:CM22">
    <cfRule type="expression" dxfId="5" priority="5" stopIfTrue="1">
      <formula>AND(task_end&gt;=CH$5,task_start&lt;CI$5)</formula>
    </cfRule>
  </conditionalFormatting>
  <conditionalFormatting sqref="CH24:CM33">
    <cfRule type="expression" dxfId="4" priority="4" stopIfTrue="1">
      <formula>AND(task_end&gt;=CH$5,task_start&lt;CI$5)</formula>
    </cfRule>
  </conditionalFormatting>
  <conditionalFormatting sqref="CH35:CM36 CH39:CM41">
    <cfRule type="expression" dxfId="3" priority="3" stopIfTrue="1">
      <formula>AND(task_end&gt;=CH$5,task_start&lt;CI$5)</formula>
    </cfRule>
  </conditionalFormatting>
  <conditionalFormatting sqref="CH38:CM38">
    <cfRule type="expression" dxfId="2" priority="1" stopIfTrue="1">
      <formula>AND(task_end&gt;=CH$5,task_start&lt;CI$5)</formula>
    </cfRule>
  </conditionalFormatting>
  <conditionalFormatting sqref="CN43:CN48 BL44:BL45 CG44:CG47 BS46 BL47 BZ47">
    <cfRule type="expression" dxfId="1" priority="124">
      <formula>AND(task_start&lt;=BL$5,ROUNDDOWN((task_end-task_start+1)*task_progress,0)+task_start-1&gt;=BL$5)</formula>
    </cfRule>
    <cfRule type="expression" dxfId="0" priority="125" stopIfTrue="1">
      <formula>AND(task_end&gt;=BL$5,task_start&lt;#REF!)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19 A8 A15"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20:A21 A9 A16"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22 A10 A17"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3" xr:uid="{4F48FC41-E335-47F1-87AA-3333A52AD81C}"/>
    <dataValidation allowBlank="1" showInputMessage="1" showErrorMessage="1" prompt="Phase 3's sample block starts in cell B20." sqref="A34 A37" xr:uid="{956902D1-D3B5-416D-BB69-9362D193BC0A}"/>
    <dataValidation allowBlank="1" showInputMessage="1" showErrorMessage="1" prompt="Phase 4's sample block starts in cell B26." sqref="A4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0"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legacyDrawing r:id="rId5"/>
  <mc:AlternateContent xmlns:mc="http://schemas.openxmlformats.org/markup-compatibility/2006">
    <mc:Choice Requires="x14">
      <controls>
        <mc:AlternateContent xmlns:mc="http://schemas.openxmlformats.org/markup-compatibility/2006">
          <mc:Choice Requires="x14">
            <control shapeId="2049" r:id="rId6" name="Scroll Bar 1">
              <controlPr defaultSize="0" autoPict="0">
                <anchor moveWithCells="1">
                  <from>
                    <xdr:col>22</xdr:col>
                    <xdr:colOff>165100</xdr:colOff>
                    <xdr:row>1</xdr:row>
                    <xdr:rowOff>139700</xdr:rowOff>
                  </from>
                  <to>
                    <xdr:col>40</xdr:col>
                    <xdr:colOff>50800</xdr:colOff>
                    <xdr:row>2</xdr:row>
                    <xdr:rowOff>88900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6" customWidth="1"/>
    <col min="2" max="16384" width="9" style="1"/>
  </cols>
  <sheetData>
    <row r="1" spans="1:2" ht="46.5" customHeight="1" x14ac:dyDescent="0.15"/>
    <row r="2" spans="1:2" s="8" customFormat="1" ht="16" x14ac:dyDescent="0.15">
      <c r="A2" s="75" t="s">
        <v>4</v>
      </c>
      <c r="B2" s="7"/>
    </row>
    <row r="3" spans="1:2" s="10" customFormat="1" ht="27" customHeight="1" x14ac:dyDescent="0.15">
      <c r="A3" s="76"/>
      <c r="B3" s="11"/>
    </row>
    <row r="4" spans="1:2" s="9" customFormat="1" ht="31" x14ac:dyDescent="0.45">
      <c r="A4" s="77" t="s">
        <v>13</v>
      </c>
    </row>
    <row r="5" spans="1:2" ht="74.25" customHeight="1" x14ac:dyDescent="0.15">
      <c r="A5" s="78" t="s">
        <v>14</v>
      </c>
    </row>
    <row r="6" spans="1:2" ht="26.25" customHeight="1" x14ac:dyDescent="0.15">
      <c r="A6" s="77" t="s">
        <v>15</v>
      </c>
    </row>
    <row r="7" spans="1:2" s="6" customFormat="1" ht="205.25" customHeight="1" x14ac:dyDescent="0.15">
      <c r="A7" s="79" t="s">
        <v>16</v>
      </c>
    </row>
    <row r="8" spans="1:2" s="9" customFormat="1" ht="31" x14ac:dyDescent="0.45">
      <c r="A8" s="77" t="s">
        <v>17</v>
      </c>
    </row>
    <row r="9" spans="1:2" ht="60" x14ac:dyDescent="0.15">
      <c r="A9" s="78" t="s">
        <v>18</v>
      </c>
    </row>
    <row r="10" spans="1:2" s="6" customFormat="1" ht="28.25" customHeight="1" x14ac:dyDescent="0.15">
      <c r="A10" s="80" t="s">
        <v>19</v>
      </c>
    </row>
    <row r="11" spans="1:2" s="9" customFormat="1" ht="31" x14ac:dyDescent="0.45">
      <c r="A11" s="77" t="s">
        <v>20</v>
      </c>
    </row>
    <row r="12" spans="1:2" ht="30" x14ac:dyDescent="0.15">
      <c r="A12" s="78" t="s">
        <v>21</v>
      </c>
    </row>
    <row r="13" spans="1:2" s="6" customFormat="1" ht="28.25" customHeight="1" x14ac:dyDescent="0.15">
      <c r="A13" s="80" t="s">
        <v>22</v>
      </c>
    </row>
    <row r="14" spans="1:2" s="9" customFormat="1" ht="31" x14ac:dyDescent="0.45">
      <c r="A14" s="77" t="s">
        <v>23</v>
      </c>
    </row>
    <row r="15" spans="1:2" ht="75" customHeight="1" x14ac:dyDescent="0.15">
      <c r="A15" s="78" t="s">
        <v>24</v>
      </c>
    </row>
    <row r="16" spans="1:2" ht="75" x14ac:dyDescent="0.15">
      <c r="A16" s="78" t="s">
        <v>25</v>
      </c>
    </row>
    <row r="17" spans="1:1" x14ac:dyDescent="0.15">
      <c r="A17" s="81"/>
    </row>
    <row r="18" spans="1:1" x14ac:dyDescent="0.15">
      <c r="A18" s="81"/>
    </row>
    <row r="19" spans="1:1" x14ac:dyDescent="0.15">
      <c r="A19" s="81"/>
    </row>
    <row r="20" spans="1:1" x14ac:dyDescent="0.15">
      <c r="A20" s="81"/>
    </row>
    <row r="21" spans="1:1" x14ac:dyDescent="0.15">
      <c r="A21" s="81"/>
    </row>
    <row r="22" spans="1:1" x14ac:dyDescent="0.15">
      <c r="A22" s="81"/>
    </row>
    <row r="23" spans="1:1" x14ac:dyDescent="0.15">
      <c r="A23" s="81"/>
    </row>
    <row r="24" spans="1:1" x14ac:dyDescent="0.15">
      <c r="A24" s="8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 de Nooy</cp:lastModifiedBy>
  <cp:revision/>
  <dcterms:created xsi:type="dcterms:W3CDTF">2026-02-11T10:34:20Z</dcterms:created>
  <dcterms:modified xsi:type="dcterms:W3CDTF">2026-02-11T13:33:35Z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