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72" documentId="8_{E97B7BBA-A1CF-CA4D-89B6-D5BE4B7D4A10}" xr6:coauthVersionLast="47" xr6:coauthVersionMax="47" xr10:uidLastSave="{0A9A9B95-2D7B-ED44-A844-247A6F97DF58}"/>
  <bookViews>
    <workbookView xWindow="0" yWindow="600" windowWidth="28800" windowHeight="1582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11" l="1"/>
  <c r="F14" i="11" s="1"/>
  <c r="H43" i="11"/>
  <c r="F47" i="11"/>
  <c r="E48" i="11" s="1"/>
  <c r="F48" i="11" s="1"/>
  <c r="E49" i="11" s="1"/>
  <c r="F46" i="11"/>
  <c r="F27" i="11"/>
  <c r="E28" i="11" s="1"/>
  <c r="H39" i="11"/>
  <c r="H16" i="11"/>
  <c r="H8" i="11"/>
  <c r="H7" i="11"/>
  <c r="F45" i="11" l="1"/>
  <c r="F49" i="11"/>
  <c r="E50" i="11" s="1"/>
  <c r="F50" i="11" s="1"/>
  <c r="E29" i="11"/>
  <c r="F29" i="11" s="1"/>
  <c r="E31" i="11" s="1"/>
  <c r="F31" i="11" s="1"/>
  <c r="E32" i="11" s="1"/>
  <c r="F28" i="11"/>
  <c r="E30" i="11" s="1"/>
  <c r="F30" i="11" s="1"/>
  <c r="F32" i="11" l="1"/>
  <c r="H32" i="11" s="1"/>
  <c r="E40" i="11"/>
  <c r="F40" i="11" s="1"/>
  <c r="E42" i="11" s="1"/>
  <c r="E19" i="11"/>
  <c r="E37" i="11"/>
  <c r="F37" i="11" s="1"/>
  <c r="E22" i="11"/>
  <c r="F22" i="11" s="1"/>
  <c r="E23" i="11" s="1"/>
  <c r="F23" i="11" s="1"/>
  <c r="E26" i="11"/>
  <c r="F26" i="11" s="1"/>
  <c r="E13" i="11"/>
  <c r="F13" i="11" s="1"/>
  <c r="E15" i="11" s="1"/>
  <c r="F15" i="11" s="1"/>
  <c r="E18" i="11"/>
  <c r="F18" i="11" s="1"/>
  <c r="F19" i="11" s="1"/>
  <c r="E10" i="11"/>
  <c r="F10" i="11" s="1"/>
  <c r="E11" i="11"/>
  <c r="F11" i="11" s="1"/>
  <c r="E12" i="11"/>
  <c r="F12" i="11" s="1"/>
  <c r="E9" i="11"/>
  <c r="F9" i="11" s="1"/>
  <c r="E25" i="11"/>
  <c r="F25" i="11" s="1"/>
  <c r="E17" i="11"/>
  <c r="F17" i="11" s="1"/>
  <c r="E21" i="11"/>
  <c r="F21" i="11" s="1"/>
  <c r="I5" i="11"/>
  <c r="H52" i="11"/>
  <c r="H51" i="11"/>
  <c r="H44" i="11"/>
  <c r="H36" i="11"/>
  <c r="H24" i="11"/>
  <c r="H20" i="11"/>
  <c r="E45" i="11" l="1"/>
  <c r="H40" i="11"/>
  <c r="E41" i="11"/>
  <c r="E38" i="11"/>
  <c r="H21" i="11"/>
  <c r="H29" i="11"/>
  <c r="H17" i="11"/>
  <c r="I6" i="11"/>
  <c r="H46" i="11" l="1"/>
  <c r="H49" i="11"/>
  <c r="H13" i="11"/>
  <c r="H37" i="11"/>
  <c r="H31" i="11"/>
  <c r="H19" i="11"/>
  <c r="H18" i="11"/>
  <c r="H9" i="11"/>
  <c r="H23" i="11"/>
  <c r="H25" i="11"/>
  <c r="J5" i="11"/>
  <c r="K5" i="11" s="1"/>
  <c r="L5" i="11" s="1"/>
  <c r="M5" i="11" s="1"/>
  <c r="N5" i="11" s="1"/>
  <c r="O5" i="11" s="1"/>
  <c r="P5" i="11" s="1"/>
  <c r="I4" i="11"/>
  <c r="H50" i="11" l="1"/>
  <c r="H48" i="11"/>
  <c r="H15" i="11"/>
  <c r="H10" i="11"/>
  <c r="H26" i="11"/>
  <c r="P4" i="11"/>
  <c r="Q5" i="11"/>
  <c r="R5" i="11" s="1"/>
  <c r="S5" i="11" s="1"/>
  <c r="T5" i="11" s="1"/>
  <c r="U5" i="11" s="1"/>
  <c r="V5" i="11" s="1"/>
  <c r="W5" i="11" s="1"/>
  <c r="J6" i="11"/>
  <c r="H47" i="11" l="1"/>
  <c r="H45" i="11"/>
  <c r="H12" i="11"/>
  <c r="H11" i="11"/>
  <c r="H27" i="11"/>
  <c r="W4" i="11"/>
  <c r="X5" i="11"/>
  <c r="Y5" i="11" s="1"/>
  <c r="Z5" i="11" s="1"/>
  <c r="AA5" i="11" s="1"/>
  <c r="AB5" i="11" s="1"/>
  <c r="AC5" i="11" s="1"/>
  <c r="AD5" i="11" s="1"/>
  <c r="K6" i="11"/>
  <c r="H28" i="11" l="1"/>
  <c r="AE5" i="11"/>
  <c r="AF5" i="11" s="1"/>
  <c r="AG5" i="11" s="1"/>
  <c r="AH5" i="11" s="1"/>
  <c r="AI5" i="11" s="1"/>
  <c r="AJ5" i="11" s="1"/>
  <c r="AD4" i="11"/>
  <c r="L6" i="11"/>
  <c r="E33" i="11" l="1"/>
  <c r="F33" i="11" s="1"/>
  <c r="E35" i="11" s="1"/>
  <c r="F35" i="11" s="1"/>
  <c r="E34" i="11"/>
  <c r="AK5" i="11"/>
  <c r="AL5" i="11" s="1"/>
  <c r="AM5" i="11" s="1"/>
  <c r="AN5" i="11" s="1"/>
  <c r="AO5" i="11" s="1"/>
  <c r="AP5" i="11" s="1"/>
  <c r="AQ5" i="11" s="1"/>
  <c r="M6" i="11"/>
  <c r="H33" i="11" l="1"/>
  <c r="F34" i="11"/>
  <c r="H34" i="11" s="1"/>
  <c r="F41" i="11"/>
  <c r="H41" i="11" s="1"/>
  <c r="F42" i="11"/>
  <c r="F38" i="11"/>
  <c r="H38" i="11" s="1"/>
  <c r="H35"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<sst xmlns="http://schemas.openxmlformats.org/spreadsheetml/2006/main" count="72" uniqueCount="67">
  <si>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</si>
  <si>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</si>
  <si>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</si>
  <si>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</si>
  <si>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</si>
  <si>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</si>
  <si>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</si>
  <si>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</si>
  <si>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</si>
  <si>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</si>
  <si>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</si>
  <si>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</si>
  <si>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</si>
  <si>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</si>
  <si>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</si>
  <si>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</si>
  <si>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</si>
  <si>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</si>
  <si>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</si>
  <si>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</si>
  <si>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</si>
  <si>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</si>
  <si>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</si>
  <si>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</si>
  <si>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</si>
  <si>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</si>
  <si>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</si>
  <si>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</si>
  <si>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</si>
  <si>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</si>
  <si>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</si>
  <si>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</si>
  <si>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</si>
  <si>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</si>
  <si>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</si>
  <si>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</si>
  <si>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</si>
  <si>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</si>
  <si>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</si>
  <si>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</si>
  <si>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</si>
  <si>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</si>
  <si>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</si>
  <si>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</si>
  <si>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</si>
  <si>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</si>
  <si>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</si>
  <si>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</si>
  <si>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</si>
  <si>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</si>
  <si>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</si>
  <si>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</si>
  <si>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</si>
  <si>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</si>
  <si>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</si>
  <si>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</si>
  <si>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</si>
  <si>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</si>
  <si>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</si>
  <si>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</si>
  <si>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</si>
  <si>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</si>
  <si>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</si>
  <si>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</si>
  <si>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</si>
  <si>
    <t>Implement: Limits on combinations (prep+mmd)</t>
  </si>
  <si>
    <t>Relative scenario and baseline counts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</si>
</sst>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0" fontId="3" fillId="0" borderId="0" xfId="0" applyFont="1" applyAlignment="1">
      <alignment horizontal="center" vertical="center" wrapText="1"/>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trlProps/ctrlProp1.xml><?xml version="1.0" encoding="utf-8"?>
<formControlPr xmlns="http://schemas.microsoft.com/office/spreadsheetml/2009/9/main" objectType="Scroll" dx="15" fmlaLink="$Q$2" horiz="1" max="100" page="0" val="5"/>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5"/>
  <sheetViews>
    <sheetView showGridLines="0" tabSelected="1" showRuler="0" topLeftCell="A9" zoomScale="88" zoomScaleNormal="88" zoomScalePageLayoutView="70" workbookViewId="0">
      <selection activeCell="G28" sqref="G28"/>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18" t="s">
        <v>0</v>
      </c>
      <c r="J1" s="119"/>
      <c r="K1" s="119"/>
      <c r="L1" s="119"/>
      <c r="M1" s="119"/>
      <c r="N1" s="119"/>
      <c r="O1" s="119"/>
      <c r="P1" s="18"/>
      <c r="Q1" s="116">
        <v>46064</v>
      </c>
      <c r="R1" s="117"/>
      <c r="S1" s="117"/>
      <c r="T1" s="117"/>
      <c r="U1" s="117"/>
      <c r="V1" s="117"/>
      <c r="W1" s="117"/>
      <c r="X1" s="117"/>
      <c r="Y1" s="117"/>
      <c r="Z1" s="117"/>
    </row>
    <row r="2" spans="1:92" ht="30" customHeight="1" x14ac:dyDescent="0.4">
      <c r="B2" s="71"/>
      <c r="C2" s="72" t="s">
        <v>1</v>
      </c>
      <c r="D2" s="17"/>
      <c r="E2" s="84"/>
      <c r="F2" s="85"/>
      <c r="I2" s="118" t="s">
        <v>2</v>
      </c>
      <c r="J2" s="119"/>
      <c r="K2" s="119"/>
      <c r="L2" s="119"/>
      <c r="M2" s="119"/>
      <c r="N2" s="119"/>
      <c r="O2" s="119"/>
      <c r="P2" s="18"/>
      <c r="Q2" s="114">
        <v>5</v>
      </c>
      <c r="R2" s="115"/>
      <c r="S2" s="115"/>
      <c r="T2" s="115"/>
      <c r="U2" s="115"/>
      <c r="V2" s="115"/>
      <c r="W2" s="115"/>
      <c r="X2" s="115"/>
      <c r="Y2" s="115"/>
      <c r="Z2" s="115"/>
      <c r="AP2" t="s">
        <v>62</v>
      </c>
    </row>
    <row r="3" spans="1:92" s="20" customFormat="1" ht="30" customHeight="1" x14ac:dyDescent="0.15">
      <c r="A3" s="12"/>
      <c r="B3" s="19"/>
      <c r="D3" s="21"/>
      <c r="E3" s="86"/>
      <c r="F3" s="87"/>
    </row>
    <row r="4" spans="1:92" s="20" customFormat="1" ht="30" customHeight="1" x14ac:dyDescent="0.15">
      <c r="A4" s="81"/>
      <c r="B4" s="110" t="s">
        <v>4</v>
      </c>
      <c r="E4" s="88"/>
      <c r="F4" s="87"/>
      <c r="I4" s="120">
        <f>I5</f>
        <v>46090</v>
      </c>
      <c r="J4" s="112"/>
      <c r="K4" s="112"/>
      <c r="L4" s="112"/>
      <c r="M4" s="112"/>
      <c r="N4" s="112"/>
      <c r="O4" s="112"/>
      <c r="P4" s="112">
        <f>P5</f>
        <v>46097</v>
      </c>
      <c r="Q4" s="112"/>
      <c r="R4" s="112"/>
      <c r="S4" s="112"/>
      <c r="T4" s="112"/>
      <c r="U4" s="112"/>
      <c r="V4" s="112"/>
      <c r="W4" s="112">
        <f>W5</f>
        <v>46104</v>
      </c>
      <c r="X4" s="112"/>
      <c r="Y4" s="112"/>
      <c r="Z4" s="112"/>
      <c r="AA4" s="112"/>
      <c r="AB4" s="112"/>
      <c r="AC4" s="112"/>
      <c r="AD4" s="112">
        <f>AD5</f>
        <v>46111</v>
      </c>
      <c r="AE4" s="112"/>
      <c r="AF4" s="112"/>
      <c r="AG4" s="112"/>
      <c r="AH4" s="112"/>
      <c r="AI4" s="112"/>
      <c r="AJ4" s="112"/>
      <c r="AK4" s="112">
        <f>AK5</f>
        <v>46118</v>
      </c>
      <c r="AL4" s="112"/>
      <c r="AM4" s="112"/>
      <c r="AN4" s="112"/>
      <c r="AO4" s="112"/>
      <c r="AP4" s="112"/>
      <c r="AQ4" s="112"/>
      <c r="AR4" s="112">
        <f>AR5</f>
        <v>46125</v>
      </c>
      <c r="AS4" s="112"/>
      <c r="AT4" s="112"/>
      <c r="AU4" s="112"/>
      <c r="AV4" s="112"/>
      <c r="AW4" s="112"/>
      <c r="AX4" s="112"/>
      <c r="AY4" s="112">
        <f>AY5</f>
        <v>46132</v>
      </c>
      <c r="AZ4" s="112"/>
      <c r="BA4" s="112"/>
      <c r="BB4" s="112"/>
      <c r="BC4" s="112"/>
      <c r="BD4" s="112"/>
      <c r="BE4" s="112"/>
      <c r="BF4" s="112">
        <f>BF5</f>
        <v>46139</v>
      </c>
      <c r="BG4" s="112"/>
      <c r="BH4" s="112"/>
      <c r="BI4" s="112"/>
      <c r="BJ4" s="112"/>
      <c r="BK4" s="112"/>
      <c r="BL4" s="113"/>
      <c r="BM4" s="112">
        <f>BM5</f>
        <v>46146</v>
      </c>
      <c r="BN4" s="112"/>
      <c r="BO4" s="112"/>
      <c r="BP4" s="112"/>
      <c r="BQ4" s="112"/>
      <c r="BR4" s="112"/>
      <c r="BS4" s="113"/>
      <c r="BT4" s="112">
        <f>BT5</f>
        <v>46153</v>
      </c>
      <c r="BU4" s="112"/>
      <c r="BV4" s="112"/>
      <c r="BW4" s="112"/>
      <c r="BX4" s="112"/>
      <c r="BY4" s="112"/>
      <c r="BZ4" s="113"/>
      <c r="CA4" s="112">
        <f>CA5</f>
        <v>46160</v>
      </c>
      <c r="CB4" s="112"/>
      <c r="CC4" s="112"/>
      <c r="CD4" s="112"/>
      <c r="CE4" s="112"/>
      <c r="CF4" s="112"/>
      <c r="CG4" s="113"/>
      <c r="CH4" s="112">
        <f>CH5</f>
        <v>46167</v>
      </c>
      <c r="CI4" s="112"/>
      <c r="CJ4" s="112"/>
      <c r="CK4" s="112"/>
      <c r="CL4" s="112"/>
      <c r="CM4" s="112"/>
      <c r="CN4" s="113"/>
    </row>
    <row r="5" spans="1:92" s="20" customFormat="1" ht="15" customHeight="1" x14ac:dyDescent="0.15">
      <c r="A5" s="123"/>
      <c r="B5" s="124" t="s">
        <v>5</v>
      </c>
      <c r="C5" s="126" t="s">
        <v>6</v>
      </c>
      <c r="D5" s="128" t="s">
        <v>7</v>
      </c>
      <c r="E5" s="121" t="s">
        <v>8</v>
      </c>
      <c r="F5" s="121" t="s">
        <v>9</v>
      </c>
      <c r="I5" s="22">
        <f>Project_Start-WEEKDAY(Project_Start,1)+2+7*(Display_Week-1)</f>
        <v>46090</v>
      </c>
      <c r="J5" s="22">
        <f>I5+1</f>
        <v>46091</v>
      </c>
      <c r="K5" s="22">
        <f t="shared" ref="K5:AX5" si="0">J5+1</f>
        <v>46092</v>
      </c>
      <c r="L5" s="22">
        <f t="shared" si="0"/>
        <v>46093</v>
      </c>
      <c r="M5" s="22">
        <f t="shared" si="0"/>
        <v>46094</v>
      </c>
      <c r="N5" s="22">
        <f t="shared" si="0"/>
        <v>46095</v>
      </c>
      <c r="O5" s="23">
        <f t="shared" si="0"/>
        <v>46096</v>
      </c>
      <c r="P5" s="24">
        <f>O5+1</f>
        <v>46097</v>
      </c>
      <c r="Q5" s="22">
        <f>P5+1</f>
        <v>46098</v>
      </c>
      <c r="R5" s="22">
        <f t="shared" si="0"/>
        <v>46099</v>
      </c>
      <c r="S5" s="22">
        <f t="shared" si="0"/>
        <v>46100</v>
      </c>
      <c r="T5" s="22">
        <f t="shared" si="0"/>
        <v>46101</v>
      </c>
      <c r="U5" s="22">
        <f t="shared" si="0"/>
        <v>46102</v>
      </c>
      <c r="V5" s="23">
        <f t="shared" si="0"/>
        <v>46103</v>
      </c>
      <c r="W5" s="24">
        <f>V5+1</f>
        <v>46104</v>
      </c>
      <c r="X5" s="22">
        <f>W5+1</f>
        <v>46105</v>
      </c>
      <c r="Y5" s="22">
        <f t="shared" si="0"/>
        <v>46106</v>
      </c>
      <c r="Z5" s="22">
        <f t="shared" si="0"/>
        <v>46107</v>
      </c>
      <c r="AA5" s="22">
        <f t="shared" si="0"/>
        <v>46108</v>
      </c>
      <c r="AB5" s="22">
        <f t="shared" si="0"/>
        <v>46109</v>
      </c>
      <c r="AC5" s="23">
        <f t="shared" si="0"/>
        <v>46110</v>
      </c>
      <c r="AD5" s="24">
        <f>AC5+1</f>
        <v>46111</v>
      </c>
      <c r="AE5" s="22">
        <f>AD5+1</f>
        <v>46112</v>
      </c>
      <c r="AF5" s="22">
        <f t="shared" si="0"/>
        <v>46113</v>
      </c>
      <c r="AG5" s="22">
        <f t="shared" si="0"/>
        <v>46114</v>
      </c>
      <c r="AH5" s="22">
        <f t="shared" si="0"/>
        <v>46115</v>
      </c>
      <c r="AI5" s="22">
        <f t="shared" si="0"/>
        <v>46116</v>
      </c>
      <c r="AJ5" s="23">
        <f t="shared" si="0"/>
        <v>46117</v>
      </c>
      <c r="AK5" s="24">
        <f>AJ5+1</f>
        <v>46118</v>
      </c>
      <c r="AL5" s="22">
        <f>AK5+1</f>
        <v>46119</v>
      </c>
      <c r="AM5" s="22">
        <f t="shared" si="0"/>
        <v>46120</v>
      </c>
      <c r="AN5" s="22">
        <f t="shared" si="0"/>
        <v>46121</v>
      </c>
      <c r="AO5" s="22">
        <f t="shared" si="0"/>
        <v>46122</v>
      </c>
      <c r="AP5" s="22">
        <f t="shared" si="0"/>
        <v>46123</v>
      </c>
      <c r="AQ5" s="23">
        <f t="shared" si="0"/>
        <v>46124</v>
      </c>
      <c r="AR5" s="24">
        <f>AQ5+1</f>
        <v>46125</v>
      </c>
      <c r="AS5" s="22">
        <f>AR5+1</f>
        <v>46126</v>
      </c>
      <c r="AT5" s="22">
        <f t="shared" si="0"/>
        <v>46127</v>
      </c>
      <c r="AU5" s="22">
        <f t="shared" si="0"/>
        <v>46128</v>
      </c>
      <c r="AV5" s="22">
        <f t="shared" si="0"/>
        <v>46129</v>
      </c>
      <c r="AW5" s="22">
        <f t="shared" si="0"/>
        <v>46130</v>
      </c>
      <c r="AX5" s="23">
        <f t="shared" si="0"/>
        <v>46131</v>
      </c>
      <c r="AY5" s="24">
        <f>AX5+1</f>
        <v>46132</v>
      </c>
      <c r="AZ5" s="22">
        <f>AY5+1</f>
        <v>46133</v>
      </c>
      <c r="BA5" s="22">
        <f t="shared" ref="BA5:BE5" si="1">AZ5+1</f>
        <v>46134</v>
      </c>
      <c r="BB5" s="22">
        <f t="shared" si="1"/>
        <v>46135</v>
      </c>
      <c r="BC5" s="22">
        <f t="shared" si="1"/>
        <v>46136</v>
      </c>
      <c r="BD5" s="22">
        <f t="shared" si="1"/>
        <v>46137</v>
      </c>
      <c r="BE5" s="23">
        <f t="shared" si="1"/>
        <v>46138</v>
      </c>
      <c r="BF5" s="24">
        <f>BE5+1</f>
        <v>46139</v>
      </c>
      <c r="BG5" s="22">
        <f>BF5+1</f>
        <v>46140</v>
      </c>
      <c r="BH5" s="22">
        <f t="shared" ref="BH5:BL5" si="2">BG5+1</f>
        <v>46141</v>
      </c>
      <c r="BI5" s="22">
        <f t="shared" si="2"/>
        <v>46142</v>
      </c>
      <c r="BJ5" s="22">
        <f t="shared" si="2"/>
        <v>46143</v>
      </c>
      <c r="BK5" s="22">
        <f t="shared" si="2"/>
        <v>46144</v>
      </c>
      <c r="BL5" s="22">
        <f t="shared" si="2"/>
        <v>46145</v>
      </c>
      <c r="BM5" s="24">
        <f>BL5+1</f>
        <v>46146</v>
      </c>
      <c r="BN5" s="22">
        <f>BM5+1</f>
        <v>46147</v>
      </c>
      <c r="BO5" s="22">
        <f t="shared" ref="BO5" si="3">BN5+1</f>
        <v>46148</v>
      </c>
      <c r="BP5" s="22">
        <f t="shared" ref="BP5" si="4">BO5+1</f>
        <v>46149</v>
      </c>
      <c r="BQ5" s="22">
        <f t="shared" ref="BQ5" si="5">BP5+1</f>
        <v>46150</v>
      </c>
      <c r="BR5" s="22">
        <f t="shared" ref="BR5" si="6">BQ5+1</f>
        <v>46151</v>
      </c>
      <c r="BS5" s="22">
        <f t="shared" ref="BS5" si="7">BR5+1</f>
        <v>46152</v>
      </c>
      <c r="BT5" s="24">
        <f>BS5+1</f>
        <v>46153</v>
      </c>
      <c r="BU5" s="22">
        <f>BT5+1</f>
        <v>46154</v>
      </c>
      <c r="BV5" s="22">
        <f t="shared" ref="BV5" si="8">BU5+1</f>
        <v>46155</v>
      </c>
      <c r="BW5" s="22">
        <f t="shared" ref="BW5" si="9">BV5+1</f>
        <v>46156</v>
      </c>
      <c r="BX5" s="22">
        <f t="shared" ref="BX5" si="10">BW5+1</f>
        <v>46157</v>
      </c>
      <c r="BY5" s="22">
        <f t="shared" ref="BY5" si="11">BX5+1</f>
        <v>46158</v>
      </c>
      <c r="BZ5" s="22">
        <f t="shared" ref="BZ5" si="12">BY5+1</f>
        <v>46159</v>
      </c>
      <c r="CA5" s="24">
        <f>BZ5+1</f>
        <v>46160</v>
      </c>
      <c r="CB5" s="22">
        <f>CA5+1</f>
        <v>46161</v>
      </c>
      <c r="CC5" s="22">
        <f t="shared" ref="CC5" si="13">CB5+1</f>
        <v>46162</v>
      </c>
      <c r="CD5" s="22">
        <f t="shared" ref="CD5" si="14">CC5+1</f>
        <v>46163</v>
      </c>
      <c r="CE5" s="22">
        <f t="shared" ref="CE5" si="15">CD5+1</f>
        <v>46164</v>
      </c>
      <c r="CF5" s="22">
        <f t="shared" ref="CF5" si="16">CE5+1</f>
        <v>46165</v>
      </c>
      <c r="CG5" s="22">
        <f t="shared" ref="CG5" si="17">CF5+1</f>
        <v>46166</v>
      </c>
      <c r="CH5" s="24">
        <f>CG5+1</f>
        <v>46167</v>
      </c>
      <c r="CI5" s="22">
        <f>CH5+1</f>
        <v>46168</v>
      </c>
      <c r="CJ5" s="22">
        <f t="shared" ref="CJ5" si="18">CI5+1</f>
        <v>46169</v>
      </c>
      <c r="CK5" s="22">
        <f t="shared" ref="CK5" si="19">CJ5+1</f>
        <v>46170</v>
      </c>
      <c r="CL5" s="22">
        <f t="shared" ref="CL5" si="20">CK5+1</f>
        <v>46171</v>
      </c>
      <c r="CM5" s="22">
        <f t="shared" ref="CM5" si="21">CL5+1</f>
        <v>46172</v>
      </c>
      <c r="CN5" s="22">
        <f t="shared" ref="CN5" si="22">CM5+1</f>
        <v>46173</v>
      </c>
    </row>
    <row r="6" spans="1:92" s="20" customFormat="1" ht="15" customHeight="1" thickBot="1" x14ac:dyDescent="0.2">
      <c r="A6" s="123"/>
      <c r="B6" s="125"/>
      <c r="C6" s="127"/>
      <c r="D6" s="127"/>
      <c r="E6" s="122"/>
      <c r="F6" s="122"/>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9"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0.8</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30" customHeight="1" thickBot="1" x14ac:dyDescent="0.2">
      <c r="A14" s="12"/>
      <c r="B14" s="40" t="s">
        <v>40</v>
      </c>
      <c r="C14" s="41"/>
      <c r="D14" s="42">
        <v>0.9</v>
      </c>
      <c r="E14" s="92">
        <f>Project_Start</f>
        <v>46064</v>
      </c>
      <c r="F14" s="92">
        <f>E14+58</f>
        <v>46122</v>
      </c>
      <c r="G14" s="14"/>
      <c r="H14" s="4"/>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53" customHeight="1" thickBot="1" x14ac:dyDescent="0.2">
      <c r="A15" s="12"/>
      <c r="B15" s="40" t="s">
        <v>41</v>
      </c>
      <c r="C15" s="41"/>
      <c r="D15" s="42">
        <v>0</v>
      </c>
      <c r="E15" s="92">
        <f>F13+1</f>
        <v>46123</v>
      </c>
      <c r="F15" s="92">
        <f>E15+14</f>
        <v>46137</v>
      </c>
      <c r="G15" s="111"/>
      <c r="H15" s="4">
        <f t="shared" si="29"/>
        <v>15</v>
      </c>
      <c r="I15" s="39"/>
      <c r="J15" s="39"/>
      <c r="K15" s="39"/>
      <c r="L15" s="39"/>
      <c r="M15" s="39"/>
      <c r="N15" s="39"/>
      <c r="O15" s="39"/>
      <c r="P15" s="39"/>
      <c r="Q15" s="39"/>
      <c r="R15" s="39"/>
      <c r="S15" s="39"/>
      <c r="T15" s="39"/>
      <c r="U15" s="39"/>
      <c r="V15" s="39"/>
      <c r="W15" s="39"/>
      <c r="X15" s="39"/>
      <c r="Y15" s="39"/>
      <c r="Z15" s="39"/>
      <c r="AA15" s="39"/>
      <c r="AB15" s="39"/>
      <c r="AC15" s="39"/>
      <c r="AD15" s="39"/>
      <c r="AE15" s="39"/>
      <c r="AF15" s="39"/>
      <c r="AG15" s="39"/>
      <c r="AH15" s="39"/>
      <c r="AI15" s="39"/>
      <c r="AJ15" s="39"/>
      <c r="AK15" s="39"/>
      <c r="AL15" s="39"/>
      <c r="AM15" s="39"/>
      <c r="AN15" s="39"/>
      <c r="AO15" s="39"/>
      <c r="AP15" s="39"/>
      <c r="AQ15" s="39"/>
      <c r="AR15" s="39"/>
      <c r="AS15" s="39"/>
      <c r="AT15" s="39"/>
      <c r="AU15" s="39"/>
      <c r="AV15" s="39"/>
      <c r="AW15" s="39"/>
      <c r="AX15" s="39"/>
      <c r="AY15" s="39"/>
      <c r="AZ15" s="39"/>
      <c r="BA15" s="39"/>
      <c r="BB15" s="39"/>
      <c r="BC15" s="39"/>
      <c r="BD15" s="39"/>
      <c r="BE15" s="39"/>
      <c r="BF15" s="39"/>
      <c r="BG15" s="39"/>
      <c r="BH15" s="39"/>
      <c r="BI15" s="39"/>
      <c r="BJ15" s="39"/>
      <c r="BK15" s="39"/>
      <c r="BL15" s="39"/>
      <c r="BM15" s="39"/>
      <c r="BN15" s="39"/>
      <c r="BO15" s="39"/>
      <c r="BP15" s="39"/>
      <c r="BQ15" s="39"/>
      <c r="BR15" s="39"/>
      <c r="BS15" s="39"/>
      <c r="BT15" s="39"/>
      <c r="BU15" s="39"/>
      <c r="BV15" s="39"/>
      <c r="BW15" s="39"/>
      <c r="BX15" s="39"/>
      <c r="BY15" s="39"/>
      <c r="BZ15" s="39"/>
      <c r="CA15" s="39"/>
      <c r="CB15" s="39"/>
      <c r="CC15" s="39"/>
      <c r="CD15" s="39"/>
      <c r="CE15" s="39"/>
      <c r="CF15" s="39"/>
      <c r="CG15" s="39"/>
      <c r="CH15" s="39"/>
      <c r="CI15" s="39"/>
      <c r="CJ15" s="39"/>
      <c r="CK15" s="39"/>
      <c r="CL15" s="39"/>
      <c r="CM15" s="39"/>
      <c r="CN15" s="39"/>
    </row>
    <row r="16" spans="1:92" s="35" customFormat="1" ht="30" customHeight="1" thickBot="1" x14ac:dyDescent="0.2">
      <c r="A16" s="81"/>
      <c r="B16" s="31" t="s">
        <v>32</v>
      </c>
      <c r="C16" s="32"/>
      <c r="D16" s="33"/>
      <c r="E16" s="90"/>
      <c r="F16" s="91"/>
      <c r="G16" s="14"/>
      <c r="H16" s="4" t="str">
        <f t="shared" si="29"/>
        <v/>
      </c>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row>
    <row r="17" spans="1:92" s="35" customFormat="1" ht="30" customHeight="1" thickBot="1" x14ac:dyDescent="0.2">
      <c r="A17" s="81"/>
      <c r="B17" s="36" t="s">
        <v>35</v>
      </c>
      <c r="C17" s="37"/>
      <c r="D17" s="38">
        <v>1</v>
      </c>
      <c r="E17" s="92">
        <f>Project_Start</f>
        <v>46064</v>
      </c>
      <c r="F17" s="92">
        <f>E17+58</f>
        <v>46122</v>
      </c>
      <c r="G17" s="14"/>
      <c r="H17" s="4">
        <f t="shared" si="29"/>
        <v>59</v>
      </c>
      <c r="I17" s="39"/>
      <c r="J17" s="39"/>
      <c r="K17" s="39"/>
      <c r="L17" s="39"/>
      <c r="M17" s="39"/>
      <c r="N17" s="39"/>
      <c r="O17" s="39"/>
      <c r="P17" s="39"/>
      <c r="Q17" s="39"/>
      <c r="R17" s="39"/>
      <c r="S17" s="39"/>
      <c r="T17" s="39"/>
      <c r="U17" s="39"/>
      <c r="V17" s="39"/>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81"/>
      <c r="B18" s="40" t="s">
        <v>33</v>
      </c>
      <c r="C18" s="41"/>
      <c r="D18" s="42">
        <v>0</v>
      </c>
      <c r="E18" s="92">
        <f>Project_Start</f>
        <v>46064</v>
      </c>
      <c r="F18" s="92">
        <f>E18+58</f>
        <v>46122</v>
      </c>
      <c r="G18" s="14"/>
      <c r="H18" s="4">
        <f t="shared" si="29"/>
        <v>59</v>
      </c>
      <c r="I18" s="39"/>
      <c r="J18" s="39"/>
      <c r="K18" s="39"/>
      <c r="L18" s="39"/>
      <c r="M18" s="39"/>
      <c r="N18" s="39"/>
      <c r="O18" s="39"/>
      <c r="P18" s="39"/>
      <c r="Q18" s="39"/>
      <c r="R18" s="39"/>
      <c r="S18" s="39"/>
      <c r="T18" s="39"/>
      <c r="U18" s="43"/>
      <c r="V18" s="43"/>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12"/>
      <c r="B19" s="40" t="s">
        <v>34</v>
      </c>
      <c r="C19" s="41"/>
      <c r="D19" s="42">
        <v>0</v>
      </c>
      <c r="E19" s="92">
        <f>Project_Start</f>
        <v>46064</v>
      </c>
      <c r="F19" s="93">
        <f>F18</f>
        <v>46122</v>
      </c>
      <c r="G19" s="14"/>
      <c r="H19" s="4">
        <f t="shared" si="29"/>
        <v>59</v>
      </c>
      <c r="I19" s="39"/>
      <c r="J19" s="39"/>
      <c r="K19" s="39"/>
      <c r="L19" s="39"/>
      <c r="M19" s="39"/>
      <c r="N19" s="39"/>
      <c r="O19" s="39"/>
      <c r="P19" s="39"/>
      <c r="Q19" s="39"/>
      <c r="R19" s="39"/>
      <c r="S19" s="39"/>
      <c r="T19" s="39"/>
      <c r="U19" s="39"/>
      <c r="V19" s="39"/>
      <c r="W19" s="39"/>
      <c r="X19" s="39"/>
      <c r="Y19" s="39"/>
      <c r="Z19" s="39"/>
      <c r="AA19" s="39"/>
      <c r="AB19" s="39"/>
      <c r="AC19" s="39"/>
      <c r="AD19" s="39"/>
      <c r="AE19" s="39"/>
      <c r="AF19" s="39"/>
      <c r="AG19" s="39"/>
      <c r="AH19" s="39"/>
      <c r="AI19" s="39"/>
      <c r="AJ19" s="39"/>
      <c r="AK19" s="39"/>
      <c r="AL19" s="39"/>
      <c r="AM19" s="39"/>
      <c r="AN19" s="39"/>
      <c r="AO19" s="39"/>
      <c r="AP19" s="39"/>
      <c r="AQ19" s="39"/>
      <c r="AR19" s="39"/>
      <c r="AS19" s="39"/>
      <c r="AT19" s="39"/>
      <c r="AU19" s="39"/>
      <c r="AV19" s="39"/>
      <c r="AW19" s="39"/>
      <c r="AX19" s="39"/>
      <c r="AY19" s="39"/>
      <c r="AZ19" s="39"/>
      <c r="BA19" s="39"/>
      <c r="BB19" s="39"/>
      <c r="BC19" s="39"/>
      <c r="BD19" s="39"/>
      <c r="BE19" s="39"/>
      <c r="BF19" s="39"/>
      <c r="BG19" s="39"/>
      <c r="BH19" s="39"/>
      <c r="BI19" s="39"/>
      <c r="BJ19" s="39"/>
      <c r="BK19" s="39"/>
      <c r="BL19" s="39"/>
      <c r="BM19" s="39"/>
      <c r="BN19" s="39"/>
      <c r="BO19" s="39"/>
      <c r="BP19" s="39"/>
      <c r="BQ19" s="39"/>
      <c r="BR19" s="39"/>
      <c r="BS19" s="39"/>
      <c r="BT19" s="39"/>
      <c r="BU19" s="39"/>
      <c r="BV19" s="39"/>
      <c r="BW19" s="39"/>
      <c r="BX19" s="39"/>
      <c r="BY19" s="39"/>
      <c r="BZ19" s="39"/>
      <c r="CA19" s="39"/>
      <c r="CB19" s="39"/>
      <c r="CC19" s="39"/>
      <c r="CD19" s="39"/>
      <c r="CE19" s="39"/>
      <c r="CF19" s="39"/>
      <c r="CG19" s="39"/>
      <c r="CH19" s="39"/>
      <c r="CI19" s="39"/>
      <c r="CJ19" s="39"/>
      <c r="CK19" s="39"/>
      <c r="CL19" s="39"/>
      <c r="CM19" s="39"/>
      <c r="CN19" s="39"/>
    </row>
    <row r="20" spans="1:92" s="35" customFormat="1" ht="30" customHeight="1" thickBot="1" x14ac:dyDescent="0.2">
      <c r="A20" s="81"/>
      <c r="B20" s="31" t="s">
        <v>36</v>
      </c>
      <c r="C20" s="32"/>
      <c r="D20" s="33"/>
      <c r="E20" s="90"/>
      <c r="F20" s="91"/>
      <c r="G20" s="14"/>
      <c r="H20" s="4" t="str">
        <f t="shared" ref="H20:H52" si="30">IF(OR(ISBLANK(task_start),ISBLANK(task_end)),"",task_end-task_start+1)</f>
        <v/>
      </c>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row>
    <row r="21" spans="1:92" s="35" customFormat="1" ht="30" customHeight="1" thickBot="1" x14ac:dyDescent="0.2">
      <c r="A21" s="81"/>
      <c r="B21" s="36" t="s">
        <v>37</v>
      </c>
      <c r="C21" s="37"/>
      <c r="D21" s="38">
        <v>0.33</v>
      </c>
      <c r="E21" s="92">
        <f>Project_Start</f>
        <v>46064</v>
      </c>
      <c r="F21" s="92">
        <f>E21+58</f>
        <v>46122</v>
      </c>
      <c r="G21" s="14"/>
      <c r="H21" s="4">
        <f t="shared" si="30"/>
        <v>59</v>
      </c>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36" t="s">
        <v>63</v>
      </c>
      <c r="C22" s="37"/>
      <c r="D22" s="38"/>
      <c r="E22" s="92">
        <f>Project_Start</f>
        <v>46064</v>
      </c>
      <c r="F22" s="92">
        <f>E22+58</f>
        <v>46122</v>
      </c>
      <c r="G22" s="14"/>
      <c r="H22" s="4"/>
      <c r="I22" s="39"/>
      <c r="J22" s="39"/>
      <c r="K22" s="39"/>
      <c r="L22" s="39"/>
      <c r="M22" s="39"/>
      <c r="N22" s="39"/>
      <c r="O22" s="39"/>
      <c r="P22" s="39"/>
      <c r="Q22" s="39"/>
      <c r="R22" s="39"/>
      <c r="S22" s="39"/>
      <c r="T22" s="39"/>
      <c r="U22" s="39"/>
      <c r="V22" s="39"/>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0" t="s">
        <v>52</v>
      </c>
      <c r="C23" s="41"/>
      <c r="D23" s="42">
        <v>0.33</v>
      </c>
      <c r="E23" s="92">
        <f>F22+1</f>
        <v>46123</v>
      </c>
      <c r="F23" s="93">
        <f>E23+7</f>
        <v>46130</v>
      </c>
      <c r="G23" s="14"/>
      <c r="H23" s="4">
        <f t="shared" si="30"/>
        <v>8</v>
      </c>
      <c r="I23" s="39"/>
      <c r="J23" s="39"/>
      <c r="K23" s="39"/>
      <c r="L23" s="39"/>
      <c r="M23" s="39"/>
      <c r="N23" s="39"/>
      <c r="O23" s="39"/>
      <c r="P23" s="39"/>
      <c r="Q23" s="39"/>
      <c r="R23" s="39"/>
      <c r="S23" s="39"/>
      <c r="T23" s="39"/>
      <c r="U23" s="43"/>
      <c r="V23" s="43"/>
      <c r="W23" s="39"/>
      <c r="X23" s="39"/>
      <c r="Y23" s="39"/>
      <c r="Z23" s="39"/>
      <c r="AA23" s="39"/>
      <c r="AB23" s="39"/>
      <c r="AC23" s="39"/>
      <c r="AD23" s="39"/>
      <c r="AE23" s="39"/>
      <c r="AF23" s="39"/>
      <c r="AG23" s="39"/>
      <c r="AH23" s="39"/>
      <c r="AI23" s="39"/>
      <c r="AJ23" s="39"/>
      <c r="AK23" s="39"/>
      <c r="AL23" s="39"/>
      <c r="AM23" s="39"/>
      <c r="AN23" s="39"/>
      <c r="AO23" s="39"/>
      <c r="AP23" s="39"/>
      <c r="AQ23" s="39"/>
      <c r="AR23" s="39"/>
      <c r="AS23" s="39"/>
      <c r="AT23" s="39"/>
      <c r="AU23" s="39"/>
      <c r="AV23" s="39"/>
      <c r="AW23" s="39"/>
      <c r="AX23" s="39"/>
      <c r="AY23" s="39"/>
      <c r="AZ23" s="39"/>
      <c r="BA23" s="39"/>
      <c r="BB23" s="39"/>
      <c r="BC23" s="39"/>
      <c r="BD23" s="39"/>
      <c r="BE23" s="39"/>
      <c r="BF23" s="39"/>
      <c r="BG23" s="39"/>
      <c r="BH23" s="39"/>
      <c r="BI23" s="39"/>
      <c r="BJ23" s="39"/>
      <c r="BK23" s="39"/>
      <c r="BL23" s="39"/>
      <c r="BM23" s="39"/>
      <c r="BN23" s="39"/>
      <c r="BO23" s="39"/>
      <c r="BP23" s="39"/>
      <c r="BQ23" s="39"/>
      <c r="BR23" s="39"/>
      <c r="BS23" s="39"/>
      <c r="BT23" s="39"/>
      <c r="BU23" s="39"/>
      <c r="BV23" s="39"/>
      <c r="BW23" s="39"/>
      <c r="BX23" s="39"/>
      <c r="BY23" s="39"/>
      <c r="BZ23" s="39"/>
      <c r="CA23" s="39"/>
      <c r="CB23" s="39"/>
      <c r="CC23" s="39"/>
      <c r="CD23" s="39"/>
      <c r="CE23" s="39"/>
      <c r="CF23" s="39"/>
      <c r="CG23" s="39"/>
      <c r="CH23" s="39"/>
      <c r="CI23" s="39"/>
      <c r="CJ23" s="39"/>
      <c r="CK23" s="39"/>
      <c r="CL23" s="39"/>
      <c r="CM23" s="39"/>
      <c r="CN23" s="39"/>
    </row>
    <row r="24" spans="1:92" s="35" customFormat="1" ht="30" customHeight="1" thickBot="1" x14ac:dyDescent="0.2">
      <c r="A24" s="81"/>
      <c r="B24" s="44" t="s">
        <v>53</v>
      </c>
      <c r="C24" s="45"/>
      <c r="D24" s="46"/>
      <c r="E24" s="94"/>
      <c r="F24" s="95"/>
      <c r="G24" s="14"/>
      <c r="H24" s="4" t="str">
        <f t="shared" si="30"/>
        <v/>
      </c>
    </row>
    <row r="25" spans="1:92" s="35" customFormat="1" ht="30" customHeight="1" thickBot="1" x14ac:dyDescent="0.2">
      <c r="A25" s="81"/>
      <c r="B25" s="47" t="s">
        <v>27</v>
      </c>
      <c r="C25" s="48"/>
      <c r="D25" s="49">
        <v>1</v>
      </c>
      <c r="E25" s="96">
        <f>Project_Start</f>
        <v>46064</v>
      </c>
      <c r="F25" s="96">
        <f>E25+20</f>
        <v>46084</v>
      </c>
      <c r="G25" s="14"/>
      <c r="H25" s="4">
        <f t="shared" si="30"/>
        <v>21</v>
      </c>
      <c r="I25" s="39"/>
      <c r="J25" s="39"/>
      <c r="K25" s="39"/>
      <c r="L25" s="39"/>
      <c r="M25" s="39"/>
      <c r="N25" s="39"/>
      <c r="O25" s="39"/>
      <c r="P25" s="39"/>
      <c r="Q25" s="39"/>
      <c r="R25" s="39"/>
      <c r="S25" s="39"/>
      <c r="T25" s="39"/>
      <c r="U25" s="39"/>
      <c r="V25" s="39"/>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38</v>
      </c>
      <c r="C26" s="48"/>
      <c r="D26" s="49">
        <v>0.8</v>
      </c>
      <c r="E26" s="96">
        <f>Project_Start</f>
        <v>46064</v>
      </c>
      <c r="F26" s="96">
        <f>E26+9</f>
        <v>46073</v>
      </c>
      <c r="G26" s="14"/>
      <c r="H26" s="4">
        <f t="shared" si="30"/>
        <v>10</v>
      </c>
      <c r="I26" s="39"/>
      <c r="J26" s="39"/>
      <c r="K26" s="39"/>
      <c r="L26" s="39"/>
      <c r="M26" s="39"/>
      <c r="N26" s="39"/>
      <c r="O26" s="39"/>
      <c r="P26" s="39"/>
      <c r="Q26" s="39"/>
      <c r="R26" s="39"/>
      <c r="S26" s="39"/>
      <c r="T26" s="39"/>
      <c r="U26" s="43"/>
      <c r="V26" s="43"/>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29</v>
      </c>
      <c r="C27" s="48"/>
      <c r="D27" s="49">
        <v>1</v>
      </c>
      <c r="E27" s="96">
        <v>46083</v>
      </c>
      <c r="F27" s="96">
        <f>E27+10</f>
        <v>46093</v>
      </c>
      <c r="G27" s="14"/>
      <c r="H27" s="4">
        <f t="shared" si="30"/>
        <v>11</v>
      </c>
      <c r="I27" s="39"/>
      <c r="J27" s="39"/>
      <c r="K27" s="39"/>
      <c r="L27" s="39"/>
      <c r="M27" s="39"/>
      <c r="N27" s="39"/>
      <c r="O27" s="39"/>
      <c r="P27" s="39"/>
      <c r="Q27" s="39"/>
      <c r="R27" s="39"/>
      <c r="S27" s="39"/>
      <c r="T27" s="39"/>
      <c r="U27" s="39"/>
      <c r="V27" s="39"/>
      <c r="W27" s="39"/>
      <c r="X27" s="39"/>
      <c r="Y27" s="39"/>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30</v>
      </c>
      <c r="C28" s="48"/>
      <c r="D28" s="49">
        <v>1</v>
      </c>
      <c r="E28" s="96">
        <f>F27+1</f>
        <v>46094</v>
      </c>
      <c r="F28" s="96">
        <f>E28+7</f>
        <v>46101</v>
      </c>
      <c r="G28" s="14"/>
      <c r="H28" s="4">
        <f t="shared" si="30"/>
        <v>8</v>
      </c>
      <c r="I28" s="39"/>
      <c r="J28" s="39"/>
      <c r="K28" s="39"/>
      <c r="L28" s="39"/>
      <c r="M28" s="39"/>
      <c r="N28" s="39"/>
      <c r="O28" s="39"/>
      <c r="P28" s="39"/>
      <c r="Q28" s="39"/>
      <c r="R28" s="39"/>
      <c r="S28" s="39"/>
      <c r="T28" s="39"/>
      <c r="U28" s="39"/>
      <c r="V28" s="39"/>
      <c r="W28" s="39"/>
      <c r="X28" s="39"/>
      <c r="Y28" s="43"/>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31</v>
      </c>
      <c r="C29" s="48"/>
      <c r="D29" s="49">
        <v>1</v>
      </c>
      <c r="E29" s="96">
        <f>E28</f>
        <v>46094</v>
      </c>
      <c r="F29" s="96">
        <f>E29+7</f>
        <v>46101</v>
      </c>
      <c r="G29" s="14"/>
      <c r="H29" s="4">
        <f t="shared" si="30"/>
        <v>8</v>
      </c>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61</v>
      </c>
      <c r="C30" s="48"/>
      <c r="D30" s="49">
        <v>1</v>
      </c>
      <c r="E30" s="96">
        <f>F28+1</f>
        <v>46102</v>
      </c>
      <c r="F30" s="96">
        <f>E30+7</f>
        <v>46109</v>
      </c>
      <c r="G30" s="14"/>
      <c r="H30" s="4"/>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39</v>
      </c>
      <c r="C31" s="48"/>
      <c r="D31" s="49">
        <v>1</v>
      </c>
      <c r="E31" s="96">
        <f>F29+1</f>
        <v>46102</v>
      </c>
      <c r="F31" s="96">
        <f>E31+7</f>
        <v>46109</v>
      </c>
      <c r="G31" s="14"/>
      <c r="H31" s="4">
        <f t="shared" si="30"/>
        <v>8</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54</v>
      </c>
      <c r="C32" s="48"/>
      <c r="D32" s="49">
        <v>0.15</v>
      </c>
      <c r="E32" s="96">
        <f>F31+1</f>
        <v>46110</v>
      </c>
      <c r="F32" s="96">
        <f>E32+3</f>
        <v>46113</v>
      </c>
      <c r="G32" s="14"/>
      <c r="H32" s="4">
        <f t="shared" si="30"/>
        <v>4</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40</v>
      </c>
      <c r="C33" s="48"/>
      <c r="D33" s="49">
        <v>0</v>
      </c>
      <c r="E33" s="96">
        <f>F32+1</f>
        <v>46114</v>
      </c>
      <c r="F33" s="96">
        <f>E33+8</f>
        <v>46122</v>
      </c>
      <c r="G33" s="14"/>
      <c r="H33" s="4">
        <f t="shared" si="30"/>
        <v>9</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47" t="s">
        <v>66</v>
      </c>
      <c r="C34" s="48"/>
      <c r="D34" s="49">
        <v>0</v>
      </c>
      <c r="E34" s="96">
        <f>F32+1</f>
        <v>46114</v>
      </c>
      <c r="F34" s="96">
        <f>E34+7</f>
        <v>46121</v>
      </c>
      <c r="G34" s="14"/>
      <c r="H34" s="4">
        <f t="shared" si="30"/>
        <v>8</v>
      </c>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c r="AW34" s="39"/>
      <c r="AX34" s="39"/>
      <c r="AY34" s="39"/>
      <c r="AZ34" s="39"/>
      <c r="BA34" s="39"/>
      <c r="BB34" s="39"/>
      <c r="BC34" s="39"/>
      <c r="BD34" s="39"/>
      <c r="BE34" s="39"/>
      <c r="BF34" s="39"/>
      <c r="BG34" s="39"/>
      <c r="BH34" s="39"/>
      <c r="BI34" s="39"/>
      <c r="BJ34" s="39"/>
      <c r="BK34" s="39"/>
      <c r="BL34" s="39"/>
      <c r="BM34" s="39"/>
      <c r="BN34" s="39"/>
      <c r="BO34" s="39"/>
      <c r="BP34" s="39"/>
      <c r="BQ34" s="39"/>
      <c r="BR34" s="39"/>
      <c r="BS34" s="39"/>
      <c r="BT34" s="39"/>
      <c r="BU34" s="39"/>
      <c r="BV34" s="39"/>
      <c r="BW34" s="39"/>
      <c r="BX34" s="39"/>
      <c r="BY34" s="39"/>
      <c r="BZ34" s="39"/>
      <c r="CA34" s="39"/>
      <c r="CB34" s="39"/>
      <c r="CC34" s="39"/>
      <c r="CD34" s="39"/>
      <c r="CE34" s="39"/>
      <c r="CF34" s="39"/>
      <c r="CG34" s="39"/>
      <c r="CH34" s="39"/>
      <c r="CI34" s="39"/>
      <c r="CJ34" s="39"/>
      <c r="CK34" s="39"/>
      <c r="CL34" s="39"/>
      <c r="CM34" s="39"/>
      <c r="CN34" s="39"/>
    </row>
    <row r="35" spans="1:92" s="35" customFormat="1" ht="30" customHeight="1" thickBot="1" x14ac:dyDescent="0.2">
      <c r="A35" s="12"/>
      <c r="B35" s="47" t="s">
        <v>60</v>
      </c>
      <c r="C35" s="48"/>
      <c r="D35" s="49">
        <v>0</v>
      </c>
      <c r="E35" s="96">
        <f>F33+1</f>
        <v>46123</v>
      </c>
      <c r="F35" s="96">
        <f>E35+7</f>
        <v>46130</v>
      </c>
      <c r="G35" s="14"/>
      <c r="H35" s="4">
        <f t="shared" si="30"/>
        <v>8</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0" t="s">
        <v>59</v>
      </c>
      <c r="C36" s="51"/>
      <c r="D36" s="52"/>
      <c r="E36" s="97"/>
      <c r="F36" s="98"/>
      <c r="G36" s="14"/>
      <c r="H36" s="4" t="str">
        <f t="shared" si="30"/>
        <v/>
      </c>
      <c r="I36" s="53"/>
      <c r="J36" s="53"/>
      <c r="K36" s="53"/>
      <c r="L36" s="53"/>
      <c r="M36" s="53"/>
      <c r="N36" s="53"/>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c r="BS36" s="53"/>
      <c r="BT36" s="53"/>
      <c r="BU36" s="53"/>
      <c r="BV36" s="53"/>
      <c r="BW36" s="53"/>
      <c r="BX36" s="53"/>
      <c r="BY36" s="53"/>
      <c r="BZ36" s="53"/>
      <c r="CA36" s="53"/>
      <c r="CB36" s="53"/>
      <c r="CC36" s="53"/>
      <c r="CD36" s="53"/>
      <c r="CE36" s="53"/>
      <c r="CF36" s="53"/>
      <c r="CG36" s="53"/>
      <c r="CH36" s="53"/>
      <c r="CI36" s="53"/>
      <c r="CJ36" s="53"/>
      <c r="CK36" s="53"/>
      <c r="CL36" s="53"/>
      <c r="CM36" s="53"/>
      <c r="CN36" s="53"/>
    </row>
    <row r="37" spans="1:92" s="35" customFormat="1" ht="68" customHeight="1" thickBot="1" x14ac:dyDescent="0.2">
      <c r="A37" s="12"/>
      <c r="B37" s="109" t="s">
        <v>43</v>
      </c>
      <c r="C37" s="55"/>
      <c r="D37" s="56">
        <v>0.2</v>
      </c>
      <c r="E37" s="99">
        <f>Project_Start</f>
        <v>46064</v>
      </c>
      <c r="F37" s="99">
        <f>E37+14</f>
        <v>46078</v>
      </c>
      <c r="G37" s="14"/>
      <c r="H37" s="4">
        <f t="shared" si="30"/>
        <v>15</v>
      </c>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c r="AH37" s="39"/>
      <c r="AI37" s="39"/>
      <c r="AJ37" s="39"/>
      <c r="AK37" s="39"/>
      <c r="AL37" s="39"/>
      <c r="AM37" s="39"/>
      <c r="AN37" s="39"/>
      <c r="AO37" s="39"/>
      <c r="AP37" s="39"/>
      <c r="AQ37" s="39"/>
      <c r="AR37" s="39"/>
      <c r="AS37" s="39"/>
      <c r="AT37" s="39"/>
      <c r="AU37" s="39"/>
      <c r="AV37" s="39"/>
      <c r="AW37" s="39"/>
      <c r="AX37" s="39"/>
      <c r="AY37" s="39"/>
      <c r="AZ37" s="39"/>
      <c r="BA37" s="39"/>
      <c r="BB37" s="39"/>
      <c r="BC37" s="39"/>
      <c r="BD37" s="39"/>
      <c r="BE37" s="39"/>
      <c r="BF37" s="39"/>
      <c r="BG37" s="39"/>
      <c r="BH37" s="39"/>
      <c r="BI37" s="39"/>
      <c r="BJ37" s="39"/>
      <c r="BK37" s="39"/>
      <c r="BL37" s="39"/>
      <c r="BM37" s="39"/>
      <c r="BN37" s="39"/>
      <c r="BO37" s="39"/>
      <c r="BP37" s="39"/>
      <c r="BQ37" s="39"/>
      <c r="BR37" s="39"/>
      <c r="BS37" s="39"/>
      <c r="BT37" s="39"/>
      <c r="BU37" s="39"/>
      <c r="BV37" s="39"/>
      <c r="BW37" s="39"/>
      <c r="BX37" s="39"/>
      <c r="BY37" s="39"/>
      <c r="BZ37" s="39"/>
      <c r="CA37" s="39"/>
      <c r="CB37" s="39"/>
      <c r="CC37" s="39"/>
      <c r="CD37" s="39"/>
      <c r="CE37" s="39"/>
      <c r="CF37" s="39"/>
      <c r="CG37" s="39"/>
      <c r="CH37" s="39"/>
      <c r="CI37" s="39"/>
      <c r="CJ37" s="39"/>
      <c r="CK37" s="39"/>
      <c r="CL37" s="39"/>
      <c r="CM37" s="39"/>
      <c r="CN37" s="39"/>
    </row>
    <row r="38" spans="1:92" s="35" customFormat="1" ht="30" customHeight="1" thickBot="1" x14ac:dyDescent="0.2">
      <c r="A38" s="12"/>
      <c r="B38" s="54" t="s">
        <v>42</v>
      </c>
      <c r="C38" s="55"/>
      <c r="D38" s="56">
        <v>0.2</v>
      </c>
      <c r="E38" s="99">
        <f>F37+1</f>
        <v>46079</v>
      </c>
      <c r="F38" s="99">
        <f>F35</f>
        <v>46130</v>
      </c>
      <c r="G38" s="14"/>
      <c r="H38" s="4">
        <f t="shared" si="30"/>
        <v>52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30" customHeight="1" thickBot="1" x14ac:dyDescent="0.2">
      <c r="A39" s="12"/>
      <c r="B39" s="50" t="s">
        <v>44</v>
      </c>
      <c r="C39" s="51"/>
      <c r="D39" s="52"/>
      <c r="E39" s="97"/>
      <c r="F39" s="98"/>
      <c r="G39" s="14"/>
      <c r="H39" s="4" t="str">
        <f t="shared" si="30"/>
        <v/>
      </c>
      <c r="I39" s="53"/>
      <c r="J39" s="53"/>
      <c r="K39" s="5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row>
    <row r="40" spans="1:92" s="35" customFormat="1" ht="43" thickBot="1" x14ac:dyDescent="0.2">
      <c r="A40" s="12"/>
      <c r="B40" s="109" t="s">
        <v>45</v>
      </c>
      <c r="C40" s="55"/>
      <c r="D40" s="56">
        <v>0.9</v>
      </c>
      <c r="E40" s="99">
        <f>Project_Start</f>
        <v>46064</v>
      </c>
      <c r="F40" s="99">
        <f>E40+21</f>
        <v>46085</v>
      </c>
      <c r="G40" s="111" t="s">
        <v>64</v>
      </c>
      <c r="H40" s="4">
        <f t="shared" si="30"/>
        <v>22</v>
      </c>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24" customHeight="1" thickBot="1" x14ac:dyDescent="0.2">
      <c r="A41" s="12"/>
      <c r="B41" s="109" t="s">
        <v>55</v>
      </c>
      <c r="C41" s="55"/>
      <c r="D41" s="56">
        <v>0.3</v>
      </c>
      <c r="E41" s="99">
        <f>F40</f>
        <v>46085</v>
      </c>
      <c r="F41" s="99">
        <f>F35</f>
        <v>46130</v>
      </c>
      <c r="G41" s="14"/>
      <c r="H41" s="4">
        <f t="shared" si="30"/>
        <v>46</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5" customHeight="1" thickBot="1" x14ac:dyDescent="0.2">
      <c r="A42" s="12"/>
      <c r="B42" s="54" t="s">
        <v>65</v>
      </c>
      <c r="C42" s="55"/>
      <c r="D42" s="56">
        <v>1</v>
      </c>
      <c r="E42" s="99">
        <f>F40</f>
        <v>46085</v>
      </c>
      <c r="F42" s="99">
        <f>F35</f>
        <v>46130</v>
      </c>
      <c r="G42" s="14"/>
      <c r="H42" s="4"/>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c r="AP42" s="39"/>
      <c r="AQ42" s="39"/>
      <c r="AR42" s="39"/>
      <c r="AS42" s="39"/>
      <c r="AT42" s="39"/>
      <c r="AU42" s="39"/>
      <c r="AV42" s="39"/>
      <c r="AW42" s="39"/>
      <c r="AX42" s="39"/>
      <c r="AY42" s="39"/>
      <c r="AZ42" s="39"/>
      <c r="BA42" s="39"/>
      <c r="BB42" s="39"/>
      <c r="BC42" s="39"/>
      <c r="BD42" s="39"/>
      <c r="BE42" s="39"/>
      <c r="BF42" s="39"/>
      <c r="BG42" s="39"/>
      <c r="BH42" s="39"/>
      <c r="BI42" s="39"/>
      <c r="BJ42" s="39"/>
      <c r="BK42" s="39"/>
      <c r="BL42" s="39"/>
      <c r="BM42" s="39"/>
      <c r="BN42" s="39"/>
      <c r="BO42" s="39"/>
      <c r="BP42" s="39"/>
      <c r="BQ42" s="39"/>
      <c r="BR42" s="39"/>
      <c r="BS42" s="39"/>
      <c r="BT42" s="39"/>
      <c r="BU42" s="39"/>
      <c r="BV42" s="39"/>
      <c r="BW42" s="39"/>
      <c r="BX42" s="39"/>
      <c r="BY42" s="39"/>
      <c r="BZ42" s="39"/>
      <c r="CA42" s="39"/>
      <c r="CB42" s="39"/>
      <c r="CC42" s="39"/>
      <c r="CD42" s="39"/>
      <c r="CE42" s="39"/>
      <c r="CF42" s="39"/>
      <c r="CG42" s="39"/>
      <c r="CH42" s="39"/>
      <c r="CI42" s="39"/>
      <c r="CJ42" s="39"/>
      <c r="CK42" s="39"/>
      <c r="CL42" s="39"/>
      <c r="CM42" s="39"/>
      <c r="CN42" s="39"/>
    </row>
    <row r="43" spans="1:92" s="35" customFormat="1" ht="30" customHeight="1" thickBot="1" x14ac:dyDescent="0.2">
      <c r="A43" s="12"/>
      <c r="B43" s="54" t="s">
        <v>56</v>
      </c>
      <c r="C43" s="55"/>
      <c r="D43" s="56">
        <v>0</v>
      </c>
      <c r="E43" s="99"/>
      <c r="F43" s="99"/>
      <c r="G43" s="14"/>
      <c r="H43" s="4" t="str">
        <f t="shared" si="30"/>
        <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57" t="s">
        <v>46</v>
      </c>
      <c r="C44" s="58"/>
      <c r="D44" s="59"/>
      <c r="E44" s="100"/>
      <c r="F44" s="101"/>
      <c r="G44" s="14"/>
      <c r="H44" s="4" t="str">
        <f t="shared" si="30"/>
        <v/>
      </c>
      <c r="I44" s="60"/>
      <c r="J44" s="60"/>
      <c r="K44" s="60"/>
      <c r="L44" s="60"/>
      <c r="M44" s="60"/>
      <c r="N44" s="60"/>
      <c r="O44" s="60"/>
      <c r="P44" s="60"/>
      <c r="Q44" s="60"/>
      <c r="R44" s="60"/>
      <c r="S44" s="60"/>
      <c r="T44" s="60"/>
      <c r="U44" s="60"/>
      <c r="V44" s="60"/>
      <c r="W44" s="60"/>
      <c r="X44" s="60"/>
      <c r="Y44" s="60"/>
      <c r="Z44" s="60"/>
      <c r="AA44" s="60"/>
      <c r="AB44" s="60"/>
      <c r="AC44" s="60"/>
      <c r="AD44" s="60"/>
      <c r="AE44" s="60"/>
      <c r="AF44" s="60"/>
      <c r="AG44" s="60"/>
      <c r="AH44" s="60"/>
      <c r="AI44" s="60"/>
      <c r="AJ44" s="60"/>
      <c r="AK44" s="60"/>
      <c r="AL44" s="60"/>
      <c r="AM44" s="60"/>
      <c r="AN44" s="60"/>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c r="BU44" s="60"/>
      <c r="BV44" s="60"/>
      <c r="BW44" s="60"/>
      <c r="BX44" s="60"/>
      <c r="BY44" s="60"/>
      <c r="BZ44" s="60"/>
      <c r="CA44" s="60"/>
      <c r="CB44" s="60"/>
      <c r="CC44" s="60"/>
      <c r="CD44" s="60"/>
      <c r="CE44" s="60"/>
      <c r="CF44" s="60"/>
      <c r="CG44" s="60"/>
      <c r="CH44" s="60"/>
      <c r="CI44" s="60"/>
      <c r="CJ44" s="60"/>
      <c r="CK44" s="60"/>
      <c r="CL44" s="60"/>
      <c r="CM44" s="60"/>
      <c r="CN44" s="60"/>
    </row>
    <row r="45" spans="1:92" s="35" customFormat="1" ht="30" customHeight="1" thickBot="1" x14ac:dyDescent="0.2">
      <c r="A45" s="12"/>
      <c r="B45" s="61" t="s">
        <v>58</v>
      </c>
      <c r="C45" s="62"/>
      <c r="D45" s="63">
        <v>1</v>
      </c>
      <c r="E45" s="102">
        <f>E37</f>
        <v>46064</v>
      </c>
      <c r="F45" s="102">
        <f>E49-3</f>
        <v>46157</v>
      </c>
      <c r="G45" s="14"/>
      <c r="H45" s="4">
        <f t="shared" si="30"/>
        <v>94</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51</v>
      </c>
      <c r="C46" s="62"/>
      <c r="D46" s="63">
        <v>0.9</v>
      </c>
      <c r="E46" s="102">
        <v>46146</v>
      </c>
      <c r="F46" s="102">
        <f>E46+7</f>
        <v>46153</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47</v>
      </c>
      <c r="C47" s="62"/>
      <c r="D47" s="63">
        <v>0</v>
      </c>
      <c r="E47" s="102">
        <v>46146</v>
      </c>
      <c r="F47" s="102">
        <f>E47+7</f>
        <v>46153</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48</v>
      </c>
      <c r="C48" s="62"/>
      <c r="D48" s="63">
        <v>0</v>
      </c>
      <c r="E48" s="102">
        <f>F47</f>
        <v>46153</v>
      </c>
      <c r="F48" s="102">
        <f>E48+7</f>
        <v>46160</v>
      </c>
      <c r="G48" s="14"/>
      <c r="H48" s="4">
        <f t="shared" si="30"/>
        <v>8</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1" t="s">
        <v>49</v>
      </c>
      <c r="C49" s="62"/>
      <c r="D49" s="63">
        <v>0</v>
      </c>
      <c r="E49" s="102">
        <f>F48</f>
        <v>46160</v>
      </c>
      <c r="F49" s="102">
        <f>E49+7</f>
        <v>46167</v>
      </c>
      <c r="G49" s="14"/>
      <c r="H49" s="4">
        <f t="shared" si="30"/>
        <v>8</v>
      </c>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c r="AP49" s="39"/>
      <c r="AQ49" s="39"/>
      <c r="AR49" s="39"/>
      <c r="AS49" s="39"/>
      <c r="AT49" s="39"/>
      <c r="AU49" s="39"/>
      <c r="AV49" s="39"/>
      <c r="AW49" s="39"/>
      <c r="AX49" s="39"/>
      <c r="AY49" s="39"/>
      <c r="AZ49" s="39"/>
      <c r="BA49" s="39"/>
      <c r="BB49" s="39"/>
      <c r="BC49" s="39"/>
      <c r="BD49" s="39"/>
      <c r="BE49" s="39"/>
      <c r="BF49" s="39"/>
      <c r="BG49" s="39"/>
      <c r="BH49" s="39"/>
      <c r="BI49" s="39"/>
      <c r="BJ49" s="39"/>
      <c r="BK49" s="39"/>
      <c r="BL49" s="39"/>
      <c r="BM49" s="39"/>
      <c r="BN49" s="39"/>
      <c r="BO49" s="39"/>
      <c r="BP49" s="39"/>
      <c r="BQ49" s="39"/>
      <c r="BR49" s="39"/>
      <c r="BS49" s="39"/>
      <c r="BT49" s="39"/>
      <c r="BU49" s="39"/>
      <c r="BV49" s="39"/>
      <c r="BW49" s="39"/>
      <c r="BX49" s="39"/>
      <c r="BY49" s="39"/>
      <c r="BZ49" s="39"/>
      <c r="CA49" s="39"/>
      <c r="CB49" s="39"/>
      <c r="CC49" s="39"/>
      <c r="CD49" s="39"/>
      <c r="CE49" s="39"/>
      <c r="CF49" s="39"/>
      <c r="CG49" s="39"/>
      <c r="CH49" s="39"/>
      <c r="CI49" s="39"/>
      <c r="CJ49" s="39"/>
      <c r="CK49" s="39"/>
      <c r="CL49" s="39"/>
      <c r="CM49" s="39"/>
      <c r="CN49" s="39"/>
    </row>
    <row r="50" spans="1:92" s="35" customFormat="1" ht="30" customHeight="1" thickBot="1" x14ac:dyDescent="0.2">
      <c r="A50" s="12"/>
      <c r="B50" s="61" t="s">
        <v>50</v>
      </c>
      <c r="C50" s="62"/>
      <c r="D50" s="63">
        <v>0</v>
      </c>
      <c r="E50" s="102">
        <f>F49</f>
        <v>46167</v>
      </c>
      <c r="F50" s="102">
        <f>E50+14</f>
        <v>46181</v>
      </c>
      <c r="G50" s="14"/>
      <c r="H50" s="4">
        <f t="shared" si="30"/>
        <v>15</v>
      </c>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c r="AP50" s="39"/>
      <c r="AQ50" s="39"/>
      <c r="AR50" s="39"/>
      <c r="AS50" s="39"/>
      <c r="AT50" s="39"/>
      <c r="AU50" s="39"/>
      <c r="AV50" s="39"/>
      <c r="AW50" s="39"/>
      <c r="AX50" s="39"/>
      <c r="AY50" s="39"/>
      <c r="AZ50" s="39"/>
      <c r="BA50" s="39"/>
      <c r="BB50" s="39"/>
      <c r="BC50" s="39"/>
      <c r="BD50" s="39"/>
      <c r="BE50" s="39"/>
      <c r="BF50" s="39"/>
      <c r="BG50" s="39"/>
      <c r="BH50" s="39"/>
      <c r="BI50" s="39"/>
      <c r="BJ50" s="39"/>
      <c r="BK50" s="39"/>
      <c r="BL50" s="39"/>
      <c r="BM50" s="39"/>
      <c r="BN50" s="39"/>
      <c r="BO50" s="39"/>
      <c r="BP50" s="39"/>
      <c r="BQ50" s="39"/>
      <c r="BR50" s="39"/>
      <c r="BS50" s="39"/>
      <c r="BT50" s="39"/>
      <c r="BU50" s="39"/>
      <c r="BV50" s="39"/>
      <c r="BW50" s="39"/>
      <c r="BX50" s="39"/>
      <c r="BY50" s="39"/>
      <c r="BZ50" s="39"/>
      <c r="CA50" s="39"/>
      <c r="CB50" s="39"/>
      <c r="CC50" s="39"/>
      <c r="CD50" s="39"/>
      <c r="CE50" s="39"/>
      <c r="CF50" s="39"/>
      <c r="CG50" s="39"/>
      <c r="CH50" s="39"/>
      <c r="CI50" s="39"/>
      <c r="CJ50" s="39"/>
      <c r="CK50" s="39"/>
      <c r="CL50" s="39"/>
      <c r="CM50" s="39"/>
      <c r="CN50" s="39"/>
    </row>
    <row r="51" spans="1:92" s="35" customFormat="1" ht="30" customHeight="1" thickBot="1" x14ac:dyDescent="0.2">
      <c r="A51" s="12"/>
      <c r="B51" s="64" t="s">
        <v>57</v>
      </c>
      <c r="C51" s="65"/>
      <c r="D51" s="66"/>
      <c r="E51" s="103"/>
      <c r="F51" s="103"/>
      <c r="G51" s="14"/>
      <c r="H51" s="4" t="str">
        <f t="shared" si="30"/>
        <v/>
      </c>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row>
    <row r="52" spans="1:92" s="35" customFormat="1" ht="30" customHeight="1" thickBot="1" x14ac:dyDescent="0.2">
      <c r="A52" s="81"/>
      <c r="B52" s="67" t="s">
        <v>11</v>
      </c>
      <c r="C52" s="68"/>
      <c r="D52" s="69"/>
      <c r="E52" s="104"/>
      <c r="F52" s="105"/>
      <c r="G52" s="14"/>
      <c r="H52" s="5" t="str">
        <f t="shared" si="30"/>
        <v/>
      </c>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70"/>
      <c r="BX52" s="70"/>
      <c r="BY52" s="70"/>
      <c r="BZ52" s="70"/>
      <c r="CA52" s="70"/>
      <c r="CB52" s="70"/>
      <c r="CC52" s="70"/>
      <c r="CD52" s="70"/>
      <c r="CE52" s="70"/>
      <c r="CF52" s="70"/>
      <c r="CG52" s="70"/>
      <c r="CH52" s="70"/>
      <c r="CI52" s="70"/>
      <c r="CJ52" s="70"/>
      <c r="CK52" s="70"/>
      <c r="CL52" s="70"/>
      <c r="CM52" s="70"/>
      <c r="CN52" s="70"/>
    </row>
    <row r="53" spans="1:92" ht="30" customHeight="1" x14ac:dyDescent="0.15">
      <c r="G53" s="2"/>
    </row>
    <row r="54" spans="1:92" ht="30" customHeight="1" x14ac:dyDescent="0.15">
      <c r="C54" s="13"/>
      <c r="F54" s="108"/>
    </row>
    <row r="55" spans="1:92" ht="30" customHeight="1" x14ac:dyDescent="0.15">
      <c r="C55" s="3"/>
    </row>
  </sheetData>
  <mergeCells count="22">
    <mergeCell ref="F5:F6"/>
    <mergeCell ref="A5:A6"/>
    <mergeCell ref="B5:B6"/>
    <mergeCell ref="C5:C6"/>
    <mergeCell ref="D5:D6"/>
    <mergeCell ref="E5:E6"/>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s>
  <conditionalFormatting sqref="D7:D52">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5:BK32 I33:BM35">
    <cfRule type="expression" dxfId="44" priority="84" stopIfTrue="1">
      <formula>AND(task_end&gt;=I$5,task_start&lt;J$5)</formula>
    </cfRule>
  </conditionalFormatting>
  <conditionalFormatting sqref="I35:BK46 I4:BK8 I9:BZ10 BL15 I15:BK17 I20:BK22 I24:BK32 I33:BM34 BL35:BM35 BL38 BL42:BZ42 BL45:CA45 BL46:BM46 I47:BM47 I49:BK50">
    <cfRule type="expression" dxfId="43" priority="80">
      <formula>AND(TODAY()&gt;=I$5, TODAY()&lt;J$5)</formula>
    </cfRule>
  </conditionalFormatting>
  <conditionalFormatting sqref="I37:BK38 BL38 I41:BK43 BL42:BZ42">
    <cfRule type="expression" dxfId="42" priority="82" stopIfTrue="1">
      <formula>AND(task_end&gt;=I$5,task_start&lt;J$5)</formula>
    </cfRule>
  </conditionalFormatting>
  <conditionalFormatting sqref="I40:BK40">
    <cfRule type="expression" dxfId="41" priority="22" stopIfTrue="1">
      <formula>AND(task_end&gt;=I$5,task_start&lt;J$5)</formula>
    </cfRule>
  </conditionalFormatting>
  <conditionalFormatting sqref="I9:BZ10 I15:BL15 I17:BL17 I21:CC22">
    <cfRule type="expression" dxfId="40" priority="86" stopIfTrue="1">
      <formula>AND(task_end&gt;=I$5,task_start&lt;J$5)</formula>
    </cfRule>
  </conditionalFormatting>
  <conditionalFormatting sqref="I9:CN15 I17:CN19 I21:CN23">
    <cfRule type="expression" dxfId="39" priority="28">
      <formula>AND(task_start&lt;=I$5,ROUNDDOWN((task_end-task_start+1)*task_progress,0)+task_start-1&gt;=I$5)</formula>
    </cfRule>
  </conditionalFormatting>
  <conditionalFormatting sqref="I25:CN35">
    <cfRule type="expression" dxfId="38" priority="26">
      <formula>AND(task_start&lt;=I$5,ROUNDDOWN((task_end-task_start+1)*task_progress,0)+task_start-1&gt;=I$5)</formula>
    </cfRule>
  </conditionalFormatting>
  <conditionalFormatting sqref="I37:CN38">
    <cfRule type="expression" dxfId="37" priority="24">
      <formula>AND(task_start&lt;=I$5,ROUNDDOWN((task_end-task_start+1)*task_progress,0)+task_start-1&gt;=I$5)</formula>
    </cfRule>
  </conditionalFormatting>
  <conditionalFormatting sqref="I40:CN43">
    <cfRule type="expression" dxfId="36" priority="15">
      <formula>AND(task_start&lt;=I$5,ROUNDDOWN((task_end-task_start+1)*task_progress,0)+task_start-1&gt;=I$5)</formula>
    </cfRule>
  </conditionalFormatting>
  <conditionalFormatting sqref="BL25:BL32 BS25:BS32 BZ25:BZ33 CG25:CG35 CN25:CN35 BS34:BS35">
    <cfRule type="expression" dxfId="35" priority="121" stopIfTrue="1">
      <formula>AND(task_end&gt;=BL$5,task_start&lt;#REF!)</formula>
    </cfRule>
  </conditionalFormatting>
  <conditionalFormatting sqref="BL37 BS37 BZ37 CG37:CG38 CN37:CN38 BL40 BS40 BZ40 CG40:CG43 CN40:CN43 BL43 BS43 BZ43">
    <cfRule type="expression" dxfId="34" priority="123" stopIfTrue="1">
      <formula>AND(task_end&gt;=BL$5,task_start&lt;#REF!)</formula>
    </cfRule>
  </conditionalFormatting>
  <conditionalFormatting sqref="BL45:CA45 I45:BK46 BL46:BM46 I47:BM47 I49:BK50">
    <cfRule type="expression" dxfId="33" priority="115">
      <formula>AND(task_start&lt;=I$5,ROUNDDOWN((task_end-task_start+1)*task_progress,0)+task_start-1&gt;=I$5)</formula>
    </cfRule>
    <cfRule type="expression" dxfId="32" priority="116" stopIfTrue="1">
      <formula>AND(task_end&gt;=I$5,task_start&lt;J$5)</formula>
    </cfRule>
  </conditionalFormatting>
  <conditionalFormatting sqref="BM25:BR32 BN33:BS35">
    <cfRule type="expression" dxfId="31" priority="45" stopIfTrue="1">
      <formula>AND(task_end&gt;=BM$5,task_start&lt;BN$5)</formula>
    </cfRule>
  </conditionalFormatting>
  <conditionalFormatting sqref="BM37:BR38 BM43:BR43">
    <cfRule type="expression" dxfId="30" priority="43" stopIfTrue="1">
      <formula>AND(task_end&gt;=BM$5,task_start&lt;BN$5)</formula>
    </cfRule>
  </conditionalFormatting>
  <conditionalFormatting sqref="BM40:BR40">
    <cfRule type="expression" dxfId="29" priority="20" stopIfTrue="1">
      <formula>AND(task_end&gt;=BM$5,task_start&lt;BN$5)</formula>
    </cfRule>
  </conditionalFormatting>
  <conditionalFormatting sqref="BM15:BT15">
    <cfRule type="expression" dxfId="28" priority="47" stopIfTrue="1">
      <formula>AND(task_end&gt;=BM$5,task_start&lt;BN$5)</formula>
    </cfRule>
  </conditionalFormatting>
  <conditionalFormatting sqref="BN46:BT47 I48:BT48">
    <cfRule type="expression" dxfId="27" priority="48">
      <formula>AND(task_start&lt;=I$5,ROUNDDOWN((task_end-task_start+1)*task_progress,0)+task_start-1&gt;=I$5)</formula>
    </cfRule>
    <cfRule type="expression" dxfId="26" priority="49" stopIfTrue="1">
      <formula>AND(task_end&gt;=I$5,task_start&lt;J$5)</formula>
    </cfRule>
  </conditionalFormatting>
  <conditionalFormatting sqref="BS15:BS16 BS34:BS37 BL4:BL8 BS4:BS8 BZ4:BZ8 CG4:CG44 CN4:CN50 BL16 BZ16 BL20 BS20 BZ20 BL24:BL32 BS24:BS32 BZ24:BZ33 BL36:BL37 BZ36:BZ37 BL39:BL40 BS39:BS40 BZ39:BZ40 BL43:BL44 BS43:BS44 BZ43:BZ44 CG46:CG49 BL49">
    <cfRule type="expression" dxfId="25" priority="117">
      <formula>AND(TODAY()&gt;=BL$5, TODAY()&lt;#REF!)</formula>
    </cfRule>
  </conditionalFormatting>
  <conditionalFormatting sqref="BS15:BT15 BM36:BR40 BM4:BR8 BM15:BR16 BM20:BR20 BM24:BR32 BN33:BS35 BM43:BR44 BN46:BT47 I48:BT48">
    <cfRule type="expression" dxfId="24" priority="41">
      <formula>AND(TODAY()&gt;=I$5, TODAY()&lt;J$5)</formula>
    </cfRule>
  </conditionalFormatting>
  <conditionalFormatting sqref="BT25:BY35">
    <cfRule type="expression" dxfId="23" priority="36" stopIfTrue="1">
      <formula>AND(task_end&gt;=BT$5,task_start&lt;BU$5)</formula>
    </cfRule>
  </conditionalFormatting>
  <conditionalFormatting sqref="BT37:BY37 BT43:BY43">
    <cfRule type="expression" dxfId="22" priority="34" stopIfTrue="1">
      <formula>AND(task_end&gt;=BT$5,task_start&lt;BU$5)</formula>
    </cfRule>
  </conditionalFormatting>
  <conditionalFormatting sqref="BT39:BY40 BT4:BY8 BZ15 BT15:BY16 BT20:BY20 BT24:BY37 BT43:BY44 BU46:CA46">
    <cfRule type="expression" dxfId="21" priority="32">
      <formula>AND(TODAY()&gt;=BT$5, TODAY()&lt;BU$5)</formula>
    </cfRule>
  </conditionalFormatting>
  <conditionalFormatting sqref="BT40:BY40">
    <cfRule type="expression" dxfId="20" priority="18" stopIfTrue="1">
      <formula>AND(task_end&gt;=BT$5,task_start&lt;BU$5)</formula>
    </cfRule>
  </conditionalFormatting>
  <conditionalFormatting sqref="BT15:BZ15">
    <cfRule type="expression" dxfId="19" priority="38" stopIfTrue="1">
      <formula>AND(task_end&gt;=BT$5,task_start&lt;BU$5)</formula>
    </cfRule>
  </conditionalFormatting>
  <conditionalFormatting sqref="BU46:CA46">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4 CA15:CF15 BM17:CF17 I18:CF19 CD21:CF22 I23:CF23">
    <cfRule type="expression" dxfId="16" priority="29" stopIfTrue="1">
      <formula>AND(task_end&gt;=I$5,task_start&lt;J$5)</formula>
    </cfRule>
  </conditionalFormatting>
  <conditionalFormatting sqref="CA25:CF33 BZ34:CF35">
    <cfRule type="expression" dxfId="15" priority="27" stopIfTrue="1">
      <formula>AND(task_end&gt;=BZ$5,task_start&lt;CA$5)</formula>
    </cfRule>
  </conditionalFormatting>
  <conditionalFormatting sqref="CA37:CF37 BS38:CF38 BL41:CF41 CA42:CF43">
    <cfRule type="expression" dxfId="14" priority="25" stopIfTrue="1">
      <formula>AND(task_end&gt;=BL$5,task_start&lt;BM$5)</formula>
    </cfRule>
  </conditionalFormatting>
  <conditionalFormatting sqref="CA39:CF40 CA4:CF10 I11:CF14 CA15:CF16 BL17:CF17 I18:CF19 CA20:CF20 BL21:CF22 I23:CF23 CA24:CF33 BZ34:CF35 CA36:CF37 BS38:CF38 BL41:CF41 CA42:CF44 CB45:CF46 BU47:CF48 BM49:CF49">
    <cfRule type="expression" dxfId="13" priority="23">
      <formula>AND(TODAY()&gt;=I$5, TODAY()&lt;J$5)</formula>
    </cfRule>
  </conditionalFormatting>
  <conditionalFormatting sqref="CA40:CF40">
    <cfRule type="expression" dxfId="12" priority="16" stopIfTrue="1">
      <formula>AND(task_end&gt;=CA$5,task_start&lt;CB$5)</formula>
    </cfRule>
  </conditionalFormatting>
  <conditionalFormatting sqref="CB45:CF46 BU47:CF48 BM49:CF49">
    <cfRule type="expression" dxfId="11" priority="30">
      <formula>AND(task_start&lt;=BM$5,ROUNDDOWN((task_end-task_start+1)*task_progress,0)+task_start-1&gt;=BM$5)</formula>
    </cfRule>
    <cfRule type="expression" dxfId="10" priority="31" stopIfTrue="1">
      <formula>AND(task_end&gt;=BM$5,task_start&lt;BN$5)</formula>
    </cfRule>
  </conditionalFormatting>
  <conditionalFormatting sqref="CG9:CG15 CN9:CN15 BS15 CG17:CG19 CN17:CN19 CG21:CG23 CN21:CN23">
    <cfRule type="expression" dxfId="9" priority="119" stopIfTrue="1">
      <formula>AND(task_end&gt;=BS$5,task_start&lt;#REF!)</formula>
    </cfRule>
  </conditionalFormatting>
  <conditionalFormatting sqref="CG45:CM45 CH46:CM49 BL50:CM50">
    <cfRule type="expression" dxfId="8" priority="6">
      <formula>AND(task_start&lt;=BL$5,ROUNDDOWN((task_end-task_start+1)*task_progress,0)+task_start-1&gt;=BL$5)</formula>
    </cfRule>
    <cfRule type="expression" dxfId="7" priority="7" stopIfTrue="1">
      <formula>AND(task_end&gt;=BL$5,task_start&lt;BM$5)</formula>
    </cfRule>
  </conditionalFormatting>
  <conditionalFormatting sqref="CH4:CM44 CG45:CM45 CH46:CM49 BL50:CM50">
    <cfRule type="expression" dxfId="6" priority="2">
      <formula>AND(TODAY()&gt;=BL$5, TODAY()&lt;BM$5)</formula>
    </cfRule>
  </conditionalFormatting>
  <conditionalFormatting sqref="CH9:CM15 CH17:CM19 CH21:CM23">
    <cfRule type="expression" dxfId="5" priority="5" stopIfTrue="1">
      <formula>AND(task_end&gt;=CH$5,task_start&lt;CI$5)</formula>
    </cfRule>
  </conditionalFormatting>
  <conditionalFormatting sqref="CH25:CM35">
    <cfRule type="expression" dxfId="4" priority="4" stopIfTrue="1">
      <formula>AND(task_end&gt;=CH$5,task_start&lt;CI$5)</formula>
    </cfRule>
  </conditionalFormatting>
  <conditionalFormatting sqref="CH37:CM38 CH41:CM43">
    <cfRule type="expression" dxfId="3" priority="3" stopIfTrue="1">
      <formula>AND(task_end&gt;=CH$5,task_start&lt;CI$5)</formula>
    </cfRule>
  </conditionalFormatting>
  <conditionalFormatting sqref="CH40:CM40">
    <cfRule type="expression" dxfId="2" priority="1" stopIfTrue="1">
      <formula>AND(task_end&gt;=CH$5,task_start&lt;CI$5)</formula>
    </cfRule>
  </conditionalFormatting>
  <conditionalFormatting sqref="CN45:CN50 CG46:CG49 BL49">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20 A8 A16"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1:A22 A9 A17"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3 A10 A18"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4" xr:uid="{4F48FC41-E335-47F1-87AA-3333A52AD81C}"/>
    <dataValidation allowBlank="1" showInputMessage="1" showErrorMessage="1" prompt="Phase 3's sample block starts in cell B20." sqref="A36 A39" xr:uid="{956902D1-D3B5-416D-BB69-9362D193BC0A}"/>
    <dataValidation allowBlank="1" showInputMessage="1" showErrorMessage="1" prompt="Phase 4's sample block starts in cell B26." sqref="A44"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2"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2026-04-13T15:24:41Z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