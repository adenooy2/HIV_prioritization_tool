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48" documentId="8_{E97B7BBA-A1CF-CA4D-89B6-D5BE4B7D4A10}" xr6:coauthVersionLast="47" xr6:coauthVersionMax="47" xr10:uidLastSave="{CB8E3818-4DB6-5647-B5BE-BCF7241B6657}"/>
  <bookViews>
    <workbookView xWindow="1020" yWindow="1680" windowWidth="37380" windowHeight="1960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<sst xmlns="http://schemas.openxmlformats.org/spreadsheetml/2006/main" count="71" uniqueCount="67">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</sst>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14" zoomScale="88" zoomScaleNormal="88" zoomScalePageLayoutView="70" workbookViewId="0">
      <selection activeCell="D29" sqref="D29"/>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18" t="s">
        <v>0</v>
      </c>
      <c r="J1" s="119"/>
      <c r="K1" s="119"/>
      <c r="L1" s="119"/>
      <c r="M1" s="119"/>
      <c r="N1" s="119"/>
      <c r="O1" s="119"/>
      <c r="P1" s="18"/>
      <c r="Q1" s="116">
        <v>46064</v>
      </c>
      <c r="R1" s="117"/>
      <c r="S1" s="117"/>
      <c r="T1" s="117"/>
      <c r="U1" s="117"/>
      <c r="V1" s="117"/>
      <c r="W1" s="117"/>
      <c r="X1" s="117"/>
      <c r="Y1" s="117"/>
      <c r="Z1" s="117"/>
    </row>
    <row r="2" spans="1:92" ht="30" customHeight="1" x14ac:dyDescent="0.4">
      <c r="B2" s="71"/>
      <c r="C2" s="72" t="s">
        <v>1</v>
      </c>
      <c r="D2" s="17"/>
      <c r="E2" s="84"/>
      <c r="F2" s="85"/>
      <c r="I2" s="118" t="s">
        <v>2</v>
      </c>
      <c r="J2" s="119"/>
      <c r="K2" s="119"/>
      <c r="L2" s="119"/>
      <c r="M2" s="119"/>
      <c r="N2" s="119"/>
      <c r="O2" s="119"/>
      <c r="P2" s="18"/>
      <c r="Q2" s="114">
        <v>1</v>
      </c>
      <c r="R2" s="115"/>
      <c r="S2" s="115"/>
      <c r="T2" s="115"/>
      <c r="U2" s="115"/>
      <c r="V2" s="115"/>
      <c r="W2" s="115"/>
      <c r="X2" s="115"/>
      <c r="Y2" s="115"/>
      <c r="Z2" s="115"/>
      <c r="AP2" t="s">
        <v>62</v>
      </c>
    </row>
    <row r="3" spans="1:92" s="20" customFormat="1" ht="30" customHeight="1" x14ac:dyDescent="0.15">
      <c r="A3" s="12"/>
      <c r="B3" s="19"/>
      <c r="D3" s="21"/>
      <c r="E3" s="86"/>
      <c r="F3" s="87"/>
    </row>
    <row r="4" spans="1:92" s="20" customFormat="1" ht="30" customHeight="1" x14ac:dyDescent="0.15">
      <c r="A4" s="81"/>
      <c r="B4" s="110" t="s">
        <v>4</v>
      </c>
      <c r="E4" s="88"/>
      <c r="F4" s="87"/>
      <c r="I4" s="120">
        <f>I5</f>
        <v>46062</v>
      </c>
      <c r="J4" s="112"/>
      <c r="K4" s="112"/>
      <c r="L4" s="112"/>
      <c r="M4" s="112"/>
      <c r="N4" s="112"/>
      <c r="O4" s="112"/>
      <c r="P4" s="112">
        <f>P5</f>
        <v>46069</v>
      </c>
      <c r="Q4" s="112"/>
      <c r="R4" s="112"/>
      <c r="S4" s="112"/>
      <c r="T4" s="112"/>
      <c r="U4" s="112"/>
      <c r="V4" s="112"/>
      <c r="W4" s="112">
        <f>W5</f>
        <v>46076</v>
      </c>
      <c r="X4" s="112"/>
      <c r="Y4" s="112"/>
      <c r="Z4" s="112"/>
      <c r="AA4" s="112"/>
      <c r="AB4" s="112"/>
      <c r="AC4" s="112"/>
      <c r="AD4" s="112">
        <f>AD5</f>
        <v>46083</v>
      </c>
      <c r="AE4" s="112"/>
      <c r="AF4" s="112"/>
      <c r="AG4" s="112"/>
      <c r="AH4" s="112"/>
      <c r="AI4" s="112"/>
      <c r="AJ4" s="112"/>
      <c r="AK4" s="112">
        <f>AK5</f>
        <v>46090</v>
      </c>
      <c r="AL4" s="112"/>
      <c r="AM4" s="112"/>
      <c r="AN4" s="112"/>
      <c r="AO4" s="112"/>
      <c r="AP4" s="112"/>
      <c r="AQ4" s="112"/>
      <c r="AR4" s="112">
        <f>AR5</f>
        <v>46097</v>
      </c>
      <c r="AS4" s="112"/>
      <c r="AT4" s="112"/>
      <c r="AU4" s="112"/>
      <c r="AV4" s="112"/>
      <c r="AW4" s="112"/>
      <c r="AX4" s="112"/>
      <c r="AY4" s="112">
        <f>AY5</f>
        <v>46104</v>
      </c>
      <c r="AZ4" s="112"/>
      <c r="BA4" s="112"/>
      <c r="BB4" s="112"/>
      <c r="BC4" s="112"/>
      <c r="BD4" s="112"/>
      <c r="BE4" s="112"/>
      <c r="BF4" s="112">
        <f>BF5</f>
        <v>46111</v>
      </c>
      <c r="BG4" s="112"/>
      <c r="BH4" s="112"/>
      <c r="BI4" s="112"/>
      <c r="BJ4" s="112"/>
      <c r="BK4" s="112"/>
      <c r="BL4" s="113"/>
      <c r="BM4" s="112">
        <f>BM5</f>
        <v>46118</v>
      </c>
      <c r="BN4" s="112"/>
      <c r="BO4" s="112"/>
      <c r="BP4" s="112"/>
      <c r="BQ4" s="112"/>
      <c r="BR4" s="112"/>
      <c r="BS4" s="113"/>
      <c r="BT4" s="112">
        <f>BT5</f>
        <v>46125</v>
      </c>
      <c r="BU4" s="112"/>
      <c r="BV4" s="112"/>
      <c r="BW4" s="112"/>
      <c r="BX4" s="112"/>
      <c r="BY4" s="112"/>
      <c r="BZ4" s="113"/>
      <c r="CA4" s="112">
        <f>CA5</f>
        <v>46132</v>
      </c>
      <c r="CB4" s="112"/>
      <c r="CC4" s="112"/>
      <c r="CD4" s="112"/>
      <c r="CE4" s="112"/>
      <c r="CF4" s="112"/>
      <c r="CG4" s="113"/>
      <c r="CH4" s="112">
        <f>CH5</f>
        <v>46139</v>
      </c>
      <c r="CI4" s="112"/>
      <c r="CJ4" s="112"/>
      <c r="CK4" s="112"/>
      <c r="CL4" s="112"/>
      <c r="CM4" s="112"/>
      <c r="CN4" s="113"/>
    </row>
    <row r="5" spans="1:92" s="20" customFormat="1" ht="15" customHeight="1" x14ac:dyDescent="0.15">
      <c r="A5" s="123"/>
      <c r="B5" s="124" t="s">
        <v>5</v>
      </c>
      <c r="C5" s="126" t="s">
        <v>6</v>
      </c>
      <c r="D5" s="128" t="s">
        <v>7</v>
      </c>
      <c r="E5" s="121" t="s">
        <v>8</v>
      </c>
      <c r="F5" s="121" t="s">
        <v>9</v>
      </c>
      <c r="I5" s="22">
        <f>Project_Start-WEEKDAY(Project_Start,1)+2+7*(Display_Week-1)</f>
        <v>46062</v>
      </c>
      <c r="J5" s="22">
        <f>I5+1</f>
        <v>46063</v>
      </c>
      <c r="K5" s="22">
        <f t="shared" ref="K5:AX5" si="0">J5+1</f>
        <v>46064</v>
      </c>
      <c r="L5" s="22">
        <f t="shared" si="0"/>
        <v>46065</v>
      </c>
      <c r="M5" s="22">
        <f t="shared" si="0"/>
        <v>46066</v>
      </c>
      <c r="N5" s="22">
        <f t="shared" si="0"/>
        <v>46067</v>
      </c>
      <c r="O5" s="23">
        <f t="shared" si="0"/>
        <v>46068</v>
      </c>
      <c r="P5" s="24">
        <f>O5+1</f>
        <v>46069</v>
      </c>
      <c r="Q5" s="22">
        <f>P5+1</f>
        <v>46070</v>
      </c>
      <c r="R5" s="22">
        <f t="shared" si="0"/>
        <v>46071</v>
      </c>
      <c r="S5" s="22">
        <f t="shared" si="0"/>
        <v>46072</v>
      </c>
      <c r="T5" s="22">
        <f t="shared" si="0"/>
        <v>46073</v>
      </c>
      <c r="U5" s="22">
        <f t="shared" si="0"/>
        <v>46074</v>
      </c>
      <c r="V5" s="23">
        <f t="shared" si="0"/>
        <v>46075</v>
      </c>
      <c r="W5" s="24">
        <f>V5+1</f>
        <v>46076</v>
      </c>
      <c r="X5" s="22">
        <f>W5+1</f>
        <v>46077</v>
      </c>
      <c r="Y5" s="22">
        <f t="shared" si="0"/>
        <v>46078</v>
      </c>
      <c r="Z5" s="22">
        <f t="shared" si="0"/>
        <v>46079</v>
      </c>
      <c r="AA5" s="22">
        <f t="shared" si="0"/>
        <v>46080</v>
      </c>
      <c r="AB5" s="22">
        <f t="shared" si="0"/>
        <v>46081</v>
      </c>
      <c r="AC5" s="23">
        <f t="shared" si="0"/>
        <v>46082</v>
      </c>
      <c r="AD5" s="24">
        <f>AC5+1</f>
        <v>46083</v>
      </c>
      <c r="AE5" s="22">
        <f>AD5+1</f>
        <v>46084</v>
      </c>
      <c r="AF5" s="22">
        <f t="shared" si="0"/>
        <v>46085</v>
      </c>
      <c r="AG5" s="22">
        <f t="shared" si="0"/>
        <v>46086</v>
      </c>
      <c r="AH5" s="22">
        <f t="shared" si="0"/>
        <v>46087</v>
      </c>
      <c r="AI5" s="22">
        <f t="shared" si="0"/>
        <v>46088</v>
      </c>
      <c r="AJ5" s="23">
        <f t="shared" si="0"/>
        <v>46089</v>
      </c>
      <c r="AK5" s="24">
        <f>AJ5+1</f>
        <v>46090</v>
      </c>
      <c r="AL5" s="22">
        <f>AK5+1</f>
        <v>46091</v>
      </c>
      <c r="AM5" s="22">
        <f t="shared" si="0"/>
        <v>46092</v>
      </c>
      <c r="AN5" s="22">
        <f t="shared" si="0"/>
        <v>46093</v>
      </c>
      <c r="AO5" s="22">
        <f t="shared" si="0"/>
        <v>46094</v>
      </c>
      <c r="AP5" s="22">
        <f t="shared" si="0"/>
        <v>46095</v>
      </c>
      <c r="AQ5" s="23">
        <f t="shared" si="0"/>
        <v>46096</v>
      </c>
      <c r="AR5" s="24">
        <f>AQ5+1</f>
        <v>46097</v>
      </c>
      <c r="AS5" s="22">
        <f>AR5+1</f>
        <v>46098</v>
      </c>
      <c r="AT5" s="22">
        <f t="shared" si="0"/>
        <v>46099</v>
      </c>
      <c r="AU5" s="22">
        <f t="shared" si="0"/>
        <v>46100</v>
      </c>
      <c r="AV5" s="22">
        <f t="shared" si="0"/>
        <v>46101</v>
      </c>
      <c r="AW5" s="22">
        <f t="shared" si="0"/>
        <v>46102</v>
      </c>
      <c r="AX5" s="23">
        <f t="shared" si="0"/>
        <v>46103</v>
      </c>
      <c r="AY5" s="24">
        <f>AX5+1</f>
        <v>46104</v>
      </c>
      <c r="AZ5" s="22">
        <f>AY5+1</f>
        <v>46105</v>
      </c>
      <c r="BA5" s="22">
        <f t="shared" ref="BA5:BE5" si="1">AZ5+1</f>
        <v>46106</v>
      </c>
      <c r="BB5" s="22">
        <f t="shared" si="1"/>
        <v>46107</v>
      </c>
      <c r="BC5" s="22">
        <f t="shared" si="1"/>
        <v>46108</v>
      </c>
      <c r="BD5" s="22">
        <f t="shared" si="1"/>
        <v>46109</v>
      </c>
      <c r="BE5" s="23">
        <f t="shared" si="1"/>
        <v>46110</v>
      </c>
      <c r="BF5" s="24">
        <f>BE5+1</f>
        <v>46111</v>
      </c>
      <c r="BG5" s="22">
        <f>BF5+1</f>
        <v>46112</v>
      </c>
      <c r="BH5" s="22">
        <f t="shared" ref="BH5:BL5" si="2">BG5+1</f>
        <v>46113</v>
      </c>
      <c r="BI5" s="22">
        <f t="shared" si="2"/>
        <v>46114</v>
      </c>
      <c r="BJ5" s="22">
        <f t="shared" si="2"/>
        <v>46115</v>
      </c>
      <c r="BK5" s="22">
        <f t="shared" si="2"/>
        <v>46116</v>
      </c>
      <c r="BL5" s="22">
        <f t="shared" si="2"/>
        <v>46117</v>
      </c>
      <c r="BM5" s="24">
        <f>BL5+1</f>
        <v>46118</v>
      </c>
      <c r="BN5" s="22">
        <f>BM5+1</f>
        <v>46119</v>
      </c>
      <c r="BO5" s="22">
        <f t="shared" ref="BO5" si="3">BN5+1</f>
        <v>46120</v>
      </c>
      <c r="BP5" s="22">
        <f t="shared" ref="BP5" si="4">BO5+1</f>
        <v>46121</v>
      </c>
      <c r="BQ5" s="22">
        <f t="shared" ref="BQ5" si="5">BP5+1</f>
        <v>46122</v>
      </c>
      <c r="BR5" s="22">
        <f t="shared" ref="BR5" si="6">BQ5+1</f>
        <v>46123</v>
      </c>
      <c r="BS5" s="22">
        <f t="shared" ref="BS5" si="7">BR5+1</f>
        <v>46124</v>
      </c>
      <c r="BT5" s="24">
        <f>BS5+1</f>
        <v>46125</v>
      </c>
      <c r="BU5" s="22">
        <f>BT5+1</f>
        <v>46126</v>
      </c>
      <c r="BV5" s="22">
        <f t="shared" ref="BV5" si="8">BU5+1</f>
        <v>46127</v>
      </c>
      <c r="BW5" s="22">
        <f t="shared" ref="BW5" si="9">BV5+1</f>
        <v>46128</v>
      </c>
      <c r="BX5" s="22">
        <f t="shared" ref="BX5" si="10">BW5+1</f>
        <v>46129</v>
      </c>
      <c r="BY5" s="22">
        <f t="shared" ref="BY5" si="11">BX5+1</f>
        <v>46130</v>
      </c>
      <c r="BZ5" s="22">
        <f t="shared" ref="BZ5" si="12">BY5+1</f>
        <v>46131</v>
      </c>
      <c r="CA5" s="24">
        <f>BZ5+1</f>
        <v>46132</v>
      </c>
      <c r="CB5" s="22">
        <f>CA5+1</f>
        <v>46133</v>
      </c>
      <c r="CC5" s="22">
        <f t="shared" ref="CC5" si="13">CB5+1</f>
        <v>46134</v>
      </c>
      <c r="CD5" s="22">
        <f t="shared" ref="CD5" si="14">CC5+1</f>
        <v>46135</v>
      </c>
      <c r="CE5" s="22">
        <f t="shared" ref="CE5" si="15">CD5+1</f>
        <v>46136</v>
      </c>
      <c r="CF5" s="22">
        <f t="shared" ref="CF5" si="16">CE5+1</f>
        <v>46137</v>
      </c>
      <c r="CG5" s="22">
        <f t="shared" ref="CG5" si="17">CF5+1</f>
        <v>46138</v>
      </c>
      <c r="CH5" s="24">
        <f>CG5+1</f>
        <v>46139</v>
      </c>
      <c r="CI5" s="22">
        <f>CH5+1</f>
        <v>46140</v>
      </c>
      <c r="CJ5" s="22">
        <f t="shared" ref="CJ5" si="18">CI5+1</f>
        <v>46141</v>
      </c>
      <c r="CK5" s="22">
        <f t="shared" ref="CK5" si="19">CJ5+1</f>
        <v>46142</v>
      </c>
      <c r="CL5" s="22">
        <f t="shared" ref="CL5" si="20">CK5+1</f>
        <v>46143</v>
      </c>
      <c r="CM5" s="22">
        <f t="shared" ref="CM5" si="21">CL5+1</f>
        <v>46144</v>
      </c>
      <c r="CN5" s="22">
        <f t="shared" ref="CN5" si="22">CM5+1</f>
        <v>46145</v>
      </c>
    </row>
    <row r="6" spans="1:92" s="20" customFormat="1" ht="15" customHeight="1" thickBot="1" x14ac:dyDescent="0.2">
      <c r="A6" s="123"/>
      <c r="B6" s="125"/>
      <c r="C6" s="127"/>
      <c r="D6" s="127"/>
      <c r="E6" s="122"/>
      <c r="F6" s="12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11"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1</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1</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1</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0.5</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0.2</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0.2</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11"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90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0.9</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F5:F6"/>
    <mergeCell ref="A5:A6"/>
    <mergeCell ref="B5:B6"/>
    <mergeCell ref="C5:C6"/>
    <mergeCell ref="D5:D6"/>
    <mergeCell ref="E5:E6"/>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6" stopIfTrue="1">
      <formula>AND(task_end&gt;=I$5,task_start&lt;J$5)</formula>
    </cfRule>
    <cfRule type="expression" dxfId="32" priority="115">
      <formula>AND(task_start&lt;=I$5,ROUNDDOWN((task_end-task_start+1)*task_progress,0)+task_start-1&gt;=I$5)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9" stopIfTrue="1">
      <formula>AND(task_end&gt;=I$5,task_start&lt;J$5)</formula>
    </cfRule>
    <cfRule type="expression" dxfId="26" priority="48">
      <formula>AND(task_start&lt;=I$5,ROUNDDOWN((task_end-task_start+1)*task_progress,0)+task_start-1&gt;=I$5)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1" stopIfTrue="1">
      <formula>AND(task_end&gt;=BM$5,task_start&lt;BN$5)</formula>
    </cfRule>
    <cfRule type="expression" dxfId="10" priority="30">
      <formula>AND(task_start&lt;=BM$5,ROUNDDOWN((task_end-task_start+1)*task_progress,0)+task_start-1&gt;=BM$5)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7" stopIfTrue="1">
      <formula>AND(task_end&gt;=BL$5,task_start&lt;BM$5)</formula>
    </cfRule>
    <cfRule type="expression" dxfId="7" priority="6">
      <formula>AND(task_start&lt;=BL$5,ROUNDDOWN((task_end-task_start+1)*task_progress,0)+task_start-1&gt;=BL$5)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2026-03-09T13:45:25Z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