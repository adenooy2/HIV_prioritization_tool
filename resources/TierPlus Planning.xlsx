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72" documentId="8_{E97B7BBA-A1CF-CA4D-89B6-D5BE4B7D4A10}" xr6:coauthVersionLast="47" xr6:coauthVersionMax="47" xr10:uidLastSave="{0A9A9B95-2D7B-ED44-A844-247A6F97DF58}"/>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1" l="1"/>
  <c r="F14" i="11" s="1"/>
  <c r="H43" i="11"/>
  <c r="F47" i="11"/>
  <c r="E48" i="11" s="1"/>
  <c r="F48" i="11" s="1"/>
  <c r="E49" i="11" s="1"/>
  <c r="F46" i="11"/>
  <c r="F27" i="11"/>
  <c r="E28" i="11" s="1"/>
  <c r="H39" i="11"/>
  <c r="H16" i="11"/>
  <c r="H8" i="11"/>
  <c r="H7" i="11"/>
  <c r="F45" i="11" l="1"/>
  <c r="F49" i="11"/>
  <c r="E50" i="11" s="1"/>
  <c r="F50" i="11" s="1"/>
  <c r="E29" i="11"/>
  <c r="F29" i="11" s="1"/>
  <c r="E31" i="11" s="1"/>
  <c r="F31" i="11" s="1"/>
  <c r="E32" i="11" s="1"/>
  <c r="F28" i="11"/>
  <c r="E30" i="11" s="1"/>
  <c r="F30" i="11" s="1"/>
  <c r="F32" i="11" l="1"/>
  <c r="H32" i="11" s="1"/>
  <c r="E40" i="11"/>
  <c r="F40" i="11" s="1"/>
  <c r="E42" i="11" s="1"/>
  <c r="E19" i="11"/>
  <c r="E37" i="11"/>
  <c r="F37" i="11" s="1"/>
  <c r="E22" i="11"/>
  <c r="F22" i="11" s="1"/>
  <c r="E23" i="11" s="1"/>
  <c r="F23" i="11" s="1"/>
  <c r="E26" i="11"/>
  <c r="F26" i="11" s="1"/>
  <c r="E13" i="11"/>
  <c r="F13" i="11" s="1"/>
  <c r="E15" i="11" s="1"/>
  <c r="F15" i="11" s="1"/>
  <c r="E18" i="11"/>
  <c r="F18" i="11" s="1"/>
  <c r="F19" i="11" s="1"/>
  <c r="E10" i="11"/>
  <c r="F10" i="11" s="1"/>
  <c r="E11" i="11"/>
  <c r="F11" i="11" s="1"/>
  <c r="E12" i="11"/>
  <c r="F12" i="11" s="1"/>
  <c r="E9" i="11"/>
  <c r="F9" i="11" s="1"/>
  <c r="E25" i="11"/>
  <c r="F25" i="11" s="1"/>
  <c r="E17" i="11"/>
  <c r="F17" i="11" s="1"/>
  <c r="E21" i="11"/>
  <c r="F21" i="11" s="1"/>
  <c r="I5" i="11"/>
  <c r="H52" i="11"/>
  <c r="H51" i="11"/>
  <c r="H44" i="11"/>
  <c r="H36" i="11"/>
  <c r="H24" i="11"/>
  <c r="H20" i="11"/>
  <c r="E45" i="11" l="1"/>
  <c r="H40" i="11"/>
  <c r="E41" i="11"/>
  <c r="E38" i="11"/>
  <c r="H21" i="11"/>
  <c r="H29" i="11"/>
  <c r="H17" i="11"/>
  <c r="I6" i="11"/>
  <c r="H46" i="11" l="1"/>
  <c r="H49" i="11"/>
  <c r="H13" i="11"/>
  <c r="H37" i="11"/>
  <c r="H31" i="11"/>
  <c r="H19" i="11"/>
  <c r="H18" i="11"/>
  <c r="H9" i="11"/>
  <c r="H23" i="11"/>
  <c r="H25" i="11"/>
  <c r="J5" i="11"/>
  <c r="K5" i="11" s="1"/>
  <c r="L5" i="11" s="1"/>
  <c r="M5" i="11" s="1"/>
  <c r="N5" i="11" s="1"/>
  <c r="O5" i="11" s="1"/>
  <c r="P5" i="11" s="1"/>
  <c r="I4" i="11"/>
  <c r="H50" i="11" l="1"/>
  <c r="H48" i="11"/>
  <c r="H15" i="11"/>
  <c r="H10" i="11"/>
  <c r="H26" i="11"/>
  <c r="P4" i="11"/>
  <c r="Q5" i="11"/>
  <c r="R5" i="11" s="1"/>
  <c r="S5" i="11" s="1"/>
  <c r="T5" i="11" s="1"/>
  <c r="U5" i="11" s="1"/>
  <c r="V5" i="11" s="1"/>
  <c r="W5" i="11" s="1"/>
  <c r="J6" i="11"/>
  <c r="H47" i="11" l="1"/>
  <c r="H45" i="11"/>
  <c r="H12" i="11"/>
  <c r="H11" i="11"/>
  <c r="H27" i="11"/>
  <c r="W4" i="11"/>
  <c r="X5" i="11"/>
  <c r="Y5" i="11" s="1"/>
  <c r="Z5" i="11" s="1"/>
  <c r="AA5" i="11" s="1"/>
  <c r="AB5" i="11" s="1"/>
  <c r="AC5" i="11" s="1"/>
  <c r="AD5" i="11" s="1"/>
  <c r="K6" i="11"/>
  <c r="H28" i="11" l="1"/>
  <c r="AE5" i="11"/>
  <c r="AF5" i="11" s="1"/>
  <c r="AG5" i="11" s="1"/>
  <c r="AH5" i="11" s="1"/>
  <c r="AI5" i="11" s="1"/>
  <c r="AJ5" i="11" s="1"/>
  <c r="AD4" i="11"/>
  <c r="L6" i="11"/>
  <c r="E33" i="11" l="1"/>
  <c r="F33" i="11" s="1"/>
  <c r="E35" i="11" s="1"/>
  <c r="F35" i="11" s="1"/>
  <c r="E34" i="11"/>
  <c r="AK5" i="11"/>
  <c r="AL5" i="11" s="1"/>
  <c r="AM5" i="11" s="1"/>
  <c r="AN5" i="11" s="1"/>
  <c r="AO5" i="11" s="1"/>
  <c r="AP5" i="11" s="1"/>
  <c r="AQ5" i="11" s="1"/>
  <c r="M6" i="11"/>
  <c r="H33" i="11" l="1"/>
  <c r="F34" i="11"/>
  <c r="H34" i="11" s="1"/>
  <c r="F41" i="11"/>
  <c r="H41" i="11" s="1"/>
  <c r="F42" i="11"/>
  <c r="F38" i="11"/>
  <c r="H38" i="11" s="1"/>
  <c r="H35"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<sst xmlns="http://schemas.openxmlformats.org/spreadsheetml/2006/main" count="72" uniqueCount="67">
  <si>
    <t>Tier Plus</t>
  </si>
  <si>
    <t>Project start:</t>
  </si>
  <si>
    <t>Project lead</t>
  </si>
  <si>
    <t>Display week:</t>
  </si>
  <si>
    <t>scroll to see more dates</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</si>
  <si>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</si>
  <si>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</si>
  <si>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</si>
  <si>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</si>
  <si>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</si>
  <si>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</si>
  <si>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</si>
  <si>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Data Collection - Efficacy and Cost params</t>
  </si>
  <si>
    <t>Prevention</t>
  </si>
  <si>
    <t xml:space="preserve">Testing </t>
  </si>
  <si>
    <t>Monitoring and retention</t>
  </si>
  <si>
    <t>AHD and prophylaxis</t>
  </si>
  <si>
    <t>ANC and PNC</t>
  </si>
  <si>
    <t>Costing</t>
  </si>
  <si>
    <t>Test app integration</t>
  </si>
  <si>
    <t>Data Collection - Additional assumption and rates (e.g mortality rates per group)</t>
  </si>
  <si>
    <t>Create parameter list with dummy values</t>
  </si>
  <si>
    <t>Collect data</t>
  </si>
  <si>
    <t>Integrate into app</t>
  </si>
  <si>
    <t>Data Collection - Baseline intervention values (where available)</t>
  </si>
  <si>
    <t xml:space="preserve">Collect any available data </t>
  </si>
  <si>
    <t>Define assumptions for baseline interventions in the abscence of data</t>
  </si>
  <si>
    <t>Integrate both into app</t>
  </si>
  <si>
    <t>Core Logic Testing - test code and documentation - usually results in app fixes as well</t>
  </si>
  <si>
    <t>Testing</t>
  </si>
  <si>
    <t>Mortality</t>
  </si>
  <si>
    <t>General viral suppression and infections</t>
  </si>
  <si>
    <t>Populations and 95's (potentially incoporated in during above sections)</t>
  </si>
  <si>
    <t>Relative scenario and baseline counts</t>
  </si>
  <si>
    <t>Re-test with all new data</t>
  </si>
  <si>
    <t>Validation - Logic (some incoporated during core logic testing)</t>
  </si>
  <si>
    <t>Define validation cases, logic and assumptions (including eligble populations, minimum or maximum groups, overlapping interventions, impact on 90's etc)</t>
  </si>
  <si>
    <t>Implement and Test</t>
  </si>
  <si>
    <t>Input Validation - App - Implement and test</t>
  </si>
  <si>
    <t>Define validation cases, logic and assumption (e.g prep_len + prep_oral cannot exceed eligible pop)</t>
  </si>
  <si>
    <t>Need a check for if I'm missing things</t>
  </si>
  <si>
    <t>Implement: Input limits (where relevant)</t>
  </si>
  <si>
    <t>Implement: Limits on combinations (prep+mmd)</t>
  </si>
  <si>
    <t xml:space="preserve">Implement: </t>
  </si>
  <si>
    <t>Integrated Testing and User feedback</t>
  </si>
  <si>
    <t>Figure out app publishing</t>
  </si>
  <si>
    <t>Test reasonable scenarios</t>
  </si>
  <si>
    <t>Test unreasonable scenarios</t>
  </si>
  <si>
    <t>Fix problems</t>
  </si>
  <si>
    <t>Gather user feedback</t>
  </si>
  <si>
    <t>Integrate feedback</t>
  </si>
  <si>
    <t>END PLANNING: JUNE 15th Max</t>
  </si>
  <si>
    <t>Insert new rows ABOVE this one</t>
  </si>
  <si>
    <t>SIMPLE GANTT CHART by Vertex42.com</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</si>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</sst>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30">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0" fontId="4" fillId="0" borderId="0" xfId="0" applyFont="1"/>
    <xf numFmtId="0" fontId="13" fillId="0" borderId="0" xfId="3" applyAlignment="1">
      <alignment wrapText="1"/>
    </xf>
    <xf numFmtId="169" fontId="20" fillId="11" borderId="16" xfId="0" applyNumberFormat="1" applyFont="1" applyFill="1" applyBorder="1" applyAlignment="1">
      <alignment horizontal="center" vertical="center"/>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168" fontId="27" fillId="0" borderId="0" xfId="9" applyNumberFormat="1" applyFont="1" applyBorder="1" applyAlignment="1">
      <alignment horizontal="left"/>
    </xf>
    <xf numFmtId="0" fontId="26" fillId="0" borderId="0" xfId="8" applyFont="1" applyAlignment="1">
      <alignment horizontal="left"/>
    </xf>
    <xf numFmtId="166" fontId="19" fillId="2" borderId="18" xfId="0" applyNumberFormat="1" applyFont="1" applyFill="1" applyBorder="1" applyAlignment="1">
      <alignment horizontal="center" vertical="center" wrapText="1"/>
    </xf>
    <xf numFmtId="0" fontId="4" fillId="0" borderId="0" xfId="0" applyFont="1" applyAlignment="1"/>
    <xf numFmtId="168" fontId="28" fillId="0" borderId="0" xfId="0" applyNumberFormat="1" applyFont="1" applyAlignment="1"/>
    <xf numFmtId="0" fontId="28" fillId="0" borderId="0" xfId="0" applyFont="1" applyAlignment="1"/>
    <xf numFmtId="0" fontId="4" fillId="2" borderId="21" xfId="0" applyFont="1" applyFill="1" applyBorder="1" applyAlignment="1"/>
    <xf numFmtId="169" fontId="4" fillId="2" borderId="21" xfId="0" applyNumberFormat="1" applyFont="1" applyFill="1"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5"/>
  <sheetViews>
    <sheetView showGridLines="0" tabSelected="1" showRuler="0" topLeftCell="A9" zoomScale="88" zoomScaleNormal="88" zoomScalePageLayoutView="70" workbookViewId="0">
      <selection activeCell="F25" sqref="F25"/>
    </sheetView>
  </sheetViews>
  <sheetFormatPr defaultColWidth="8.625" defaultRowHeight="30" customHeight="1"/>
  <cols>
    <col min="1" max="1" width="2.625" style="12" customWidth="1"/>
    <col min="2" max="2" width="37.375" customWidth="1"/>
    <col min="3" max="3" width="16.625" customWidth="1"/>
    <col min="4" max="4" width="10.625" customWidth="1"/>
    <col min="5" max="5" width="10.625" style="105" customWidth="1"/>
    <col min="6" max="6" width="6.625" style="106" bestFit="1" customWidth="1"/>
    <col min="7" max="7" width="23.875" customWidth="1"/>
    <col min="8" max="8" width="0.625" customWidth="1"/>
    <col min="9" max="92" width="2.625" customWidth="1"/>
  </cols>
  <sheetData>
    <row r="1" spans="1:92" ht="90" customHeight="1">
      <c r="A1" s="112"/>
      <c r="B1" s="73" t="s">
        <v>0</v>
      </c>
      <c r="C1" s="15"/>
      <c r="D1" s="16"/>
      <c r="E1" s="81"/>
      <c r="F1" s="82"/>
      <c r="H1" s="1"/>
      <c r="I1" s="123" t="s">
        <v>1</v>
      </c>
      <c r="J1" s="125"/>
      <c r="K1" s="125"/>
      <c r="L1" s="125"/>
      <c r="M1" s="125"/>
      <c r="N1" s="125"/>
      <c r="O1" s="125"/>
      <c r="P1" s="18"/>
      <c r="Q1" s="122">
        <v>46064</v>
      </c>
      <c r="R1" s="126"/>
      <c r="S1" s="126"/>
      <c r="T1" s="126"/>
      <c r="U1" s="126"/>
      <c r="V1" s="126"/>
      <c r="W1" s="126"/>
      <c r="X1" s="126"/>
      <c r="Y1" s="126"/>
      <c r="Z1" s="126"/>
    </row>
    <row r="2" spans="1:92" ht="30" customHeight="1">
      <c r="B2" s="71"/>
      <c r="C2" s="72" t="s">
        <v>2</v>
      </c>
      <c r="D2" s="17"/>
      <c r="E2" s="83"/>
      <c r="F2" s="84"/>
      <c r="I2" s="123" t="s">
        <v>3</v>
      </c>
      <c r="J2" s="125"/>
      <c r="K2" s="125"/>
      <c r="L2" s="125"/>
      <c r="M2" s="125"/>
      <c r="N2" s="125"/>
      <c r="O2" s="125"/>
      <c r="P2" s="18"/>
      <c r="Q2" s="121">
        <v>5</v>
      </c>
      <c r="R2" s="127"/>
      <c r="S2" s="127"/>
      <c r="T2" s="127"/>
      <c r="U2" s="127"/>
      <c r="V2" s="127"/>
      <c r="W2" s="127"/>
      <c r="X2" s="127"/>
      <c r="Y2" s="127"/>
      <c r="Z2" s="127"/>
      <c r="AP2" t="s">
        <v>4</v>
      </c>
    </row>
    <row r="3" spans="1:92" s="20" customFormat="1" ht="30" customHeight="1">
      <c r="A3" s="12"/>
      <c r="B3" s="19"/>
      <c r="C3" s="111"/>
      <c r="D3" s="21"/>
      <c r="E3" s="85"/>
      <c r="F3" s="86"/>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row>
    <row r="4" spans="1:92" s="20" customFormat="1" ht="30" customHeight="1">
      <c r="A4" s="112"/>
      <c r="B4" s="109" t="s">
        <v>5</v>
      </c>
      <c r="C4" s="111"/>
      <c r="D4" s="111"/>
      <c r="E4" s="87"/>
      <c r="F4" s="86"/>
      <c r="G4" s="111"/>
      <c r="H4" s="111"/>
      <c r="I4" s="124">
        <f>I5</f>
        <v>46090</v>
      </c>
      <c r="J4" s="119"/>
      <c r="K4" s="119"/>
      <c r="L4" s="119"/>
      <c r="M4" s="119"/>
      <c r="N4" s="119"/>
      <c r="O4" s="119"/>
      <c r="P4" s="119">
        <f>P5</f>
        <v>46097</v>
      </c>
      <c r="Q4" s="119"/>
      <c r="R4" s="119"/>
      <c r="S4" s="119"/>
      <c r="T4" s="119"/>
      <c r="U4" s="119"/>
      <c r="V4" s="119"/>
      <c r="W4" s="119">
        <f>W5</f>
        <v>46104</v>
      </c>
      <c r="X4" s="119"/>
      <c r="Y4" s="119"/>
      <c r="Z4" s="119"/>
      <c r="AA4" s="119"/>
      <c r="AB4" s="119"/>
      <c r="AC4" s="119"/>
      <c r="AD4" s="119">
        <f>AD5</f>
        <v>46111</v>
      </c>
      <c r="AE4" s="119"/>
      <c r="AF4" s="119"/>
      <c r="AG4" s="119"/>
      <c r="AH4" s="119"/>
      <c r="AI4" s="119"/>
      <c r="AJ4" s="119"/>
      <c r="AK4" s="119">
        <f>AK5</f>
        <v>46118</v>
      </c>
      <c r="AL4" s="119"/>
      <c r="AM4" s="119"/>
      <c r="AN4" s="119"/>
      <c r="AO4" s="119"/>
      <c r="AP4" s="119"/>
      <c r="AQ4" s="119"/>
      <c r="AR4" s="119">
        <f>AR5</f>
        <v>46125</v>
      </c>
      <c r="AS4" s="119"/>
      <c r="AT4" s="119"/>
      <c r="AU4" s="119"/>
      <c r="AV4" s="119"/>
      <c r="AW4" s="119"/>
      <c r="AX4" s="119"/>
      <c r="AY4" s="119">
        <f>AY5</f>
        <v>46132</v>
      </c>
      <c r="AZ4" s="119"/>
      <c r="BA4" s="119"/>
      <c r="BB4" s="119"/>
      <c r="BC4" s="119"/>
      <c r="BD4" s="119"/>
      <c r="BE4" s="119"/>
      <c r="BF4" s="119">
        <f>BF5</f>
        <v>46139</v>
      </c>
      <c r="BG4" s="119"/>
      <c r="BH4" s="119"/>
      <c r="BI4" s="119"/>
      <c r="BJ4" s="119"/>
      <c r="BK4" s="119"/>
      <c r="BL4" s="120"/>
      <c r="BM4" s="119">
        <f>BM5</f>
        <v>46146</v>
      </c>
      <c r="BN4" s="119"/>
      <c r="BO4" s="119"/>
      <c r="BP4" s="119"/>
      <c r="BQ4" s="119"/>
      <c r="BR4" s="119"/>
      <c r="BS4" s="120"/>
      <c r="BT4" s="119">
        <f>BT5</f>
        <v>46153</v>
      </c>
      <c r="BU4" s="119"/>
      <c r="BV4" s="119"/>
      <c r="BW4" s="119"/>
      <c r="BX4" s="119"/>
      <c r="BY4" s="119"/>
      <c r="BZ4" s="120"/>
      <c r="CA4" s="119">
        <f>CA5</f>
        <v>46160</v>
      </c>
      <c r="CB4" s="119"/>
      <c r="CC4" s="119"/>
      <c r="CD4" s="119"/>
      <c r="CE4" s="119"/>
      <c r="CF4" s="119"/>
      <c r="CG4" s="120"/>
      <c r="CH4" s="119">
        <f>CH5</f>
        <v>46167</v>
      </c>
      <c r="CI4" s="119"/>
      <c r="CJ4" s="119"/>
      <c r="CK4" s="119"/>
      <c r="CL4" s="119"/>
      <c r="CM4" s="119"/>
      <c r="CN4" s="120"/>
    </row>
    <row r="5" spans="1:92" s="20" customFormat="1" ht="15" customHeight="1">
      <c r="A5" s="114"/>
      <c r="B5" s="115" t="s">
        <v>6</v>
      </c>
      <c r="C5" s="117" t="s">
        <v>7</v>
      </c>
      <c r="D5" s="118" t="s">
        <v>8</v>
      </c>
      <c r="E5" s="113" t="s">
        <v>9</v>
      </c>
      <c r="F5" s="113" t="s">
        <v>10</v>
      </c>
      <c r="G5" s="111"/>
      <c r="H5" s="111"/>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c r="A6" s="114"/>
      <c r="B6" s="116"/>
      <c r="C6" s="128"/>
      <c r="D6" s="128"/>
      <c r="E6" s="129"/>
      <c r="F6" s="129"/>
      <c r="G6" s="111"/>
      <c r="H6" s="111"/>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c r="A7" s="12" t="s">
        <v>11</v>
      </c>
      <c r="B7" s="28"/>
      <c r="C7" s="29"/>
      <c r="D7" s="28"/>
      <c r="E7" s="88"/>
      <c r="F7" s="88"/>
      <c r="G7" s="111"/>
      <c r="H7" s="111" t="str">
        <f ca="1">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c r="A8" s="112"/>
      <c r="B8" s="31" t="s">
        <v>12</v>
      </c>
      <c r="C8" s="32"/>
      <c r="D8" s="33"/>
      <c r="E8" s="89"/>
      <c r="F8" s="90"/>
      <c r="G8" s="14"/>
      <c r="H8" s="4" t="str">
        <f t="shared" ref="H8:H19" ca="1"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c r="A9" s="112"/>
      <c r="B9" s="36" t="s">
        <v>13</v>
      </c>
      <c r="C9" s="37"/>
      <c r="D9" s="38">
        <v>0</v>
      </c>
      <c r="E9" s="91">
        <f>Project_Start</f>
        <v>46064</v>
      </c>
      <c r="F9" s="91">
        <f>E9+58</f>
        <v>46122</v>
      </c>
      <c r="G9" s="14"/>
      <c r="H9" s="4">
        <f t="shared" ca="1"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c r="A10" s="112"/>
      <c r="B10" s="40" t="s">
        <v>14</v>
      </c>
      <c r="C10" s="41"/>
      <c r="D10" s="42">
        <v>0.8</v>
      </c>
      <c r="E10" s="91">
        <f>Project_Start</f>
        <v>46064</v>
      </c>
      <c r="F10" s="91">
        <f>E10+58</f>
        <v>46122</v>
      </c>
      <c r="G10" s="14"/>
      <c r="H10" s="4">
        <f t="shared" ca="1"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c r="A11" s="12"/>
      <c r="B11" s="40" t="s">
        <v>15</v>
      </c>
      <c r="C11" s="41"/>
      <c r="D11" s="42">
        <v>0</v>
      </c>
      <c r="E11" s="91">
        <f>Project_Start</f>
        <v>46064</v>
      </c>
      <c r="F11" s="91">
        <f>E11+58</f>
        <v>46122</v>
      </c>
      <c r="G11" s="14"/>
      <c r="H11" s="4">
        <f t="shared" ca="1"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c r="A12" s="12"/>
      <c r="B12" s="40" t="s">
        <v>16</v>
      </c>
      <c r="C12" s="41"/>
      <c r="D12" s="42">
        <v>0</v>
      </c>
      <c r="E12" s="91">
        <f>Project_Start</f>
        <v>46064</v>
      </c>
      <c r="F12" s="91">
        <f>E12+58</f>
        <v>46122</v>
      </c>
      <c r="G12" s="14"/>
      <c r="H12" s="4">
        <f t="shared" ca="1"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c r="A13" s="12"/>
      <c r="B13" s="40" t="s">
        <v>17</v>
      </c>
      <c r="C13" s="41"/>
      <c r="D13" s="42">
        <v>0</v>
      </c>
      <c r="E13" s="91">
        <f>Project_Start</f>
        <v>46064</v>
      </c>
      <c r="F13" s="91">
        <f>E13+58</f>
        <v>46122</v>
      </c>
      <c r="G13" s="14"/>
      <c r="H13" s="4">
        <f t="shared" ca="1"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c r="A14" s="12"/>
      <c r="B14" s="40" t="s">
        <v>18</v>
      </c>
      <c r="C14" s="41"/>
      <c r="D14" s="42">
        <v>0.9</v>
      </c>
      <c r="E14" s="91">
        <f>Project_Start</f>
        <v>46064</v>
      </c>
      <c r="F14" s="91">
        <f>E14+58</f>
        <v>46122</v>
      </c>
      <c r="G14" s="14"/>
      <c r="H14" s="4"/>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53.1" customHeight="1" thickBot="1">
      <c r="A15" s="12"/>
      <c r="B15" s="40" t="s">
        <v>19</v>
      </c>
      <c r="C15" s="41"/>
      <c r="D15" s="42">
        <v>0</v>
      </c>
      <c r="E15" s="91">
        <f>F13+1</f>
        <v>46123</v>
      </c>
      <c r="F15" s="91">
        <f>E15+14</f>
        <v>46137</v>
      </c>
      <c r="G15" s="110"/>
      <c r="H15" s="4">
        <f t="shared" ca="1" si="29"/>
        <v>15</v>
      </c>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row>
    <row r="16" spans="1:92" s="35" customFormat="1" ht="30" customHeight="1" thickBot="1">
      <c r="A16" s="112"/>
      <c r="B16" s="31" t="s">
        <v>20</v>
      </c>
      <c r="C16" s="32"/>
      <c r="D16" s="33"/>
      <c r="E16" s="89"/>
      <c r="F16" s="90"/>
      <c r="G16" s="14"/>
      <c r="H16" s="4" t="str">
        <f t="shared" ca="1" si="29"/>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row>
    <row r="17" spans="1:92" s="35" customFormat="1" ht="30" customHeight="1" thickBot="1">
      <c r="A17" s="112"/>
      <c r="B17" s="36" t="s">
        <v>21</v>
      </c>
      <c r="C17" s="37"/>
      <c r="D17" s="38">
        <v>1</v>
      </c>
      <c r="E17" s="91">
        <f>Project_Start</f>
        <v>46064</v>
      </c>
      <c r="F17" s="91">
        <f>E17+58</f>
        <v>46122</v>
      </c>
      <c r="G17" s="14"/>
      <c r="H17" s="4">
        <f t="shared" ca="1" si="29"/>
        <v>59</v>
      </c>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c r="A18" s="112"/>
      <c r="B18" s="40" t="s">
        <v>22</v>
      </c>
      <c r="C18" s="41"/>
      <c r="D18" s="42">
        <v>0</v>
      </c>
      <c r="E18" s="91">
        <f>Project_Start</f>
        <v>46064</v>
      </c>
      <c r="F18" s="91">
        <f>E18+58</f>
        <v>46122</v>
      </c>
      <c r="G18" s="14"/>
      <c r="H18" s="4">
        <f t="shared" ca="1" si="29"/>
        <v>59</v>
      </c>
      <c r="I18" s="39"/>
      <c r="J18" s="39"/>
      <c r="K18" s="39"/>
      <c r="L18" s="39"/>
      <c r="M18" s="39"/>
      <c r="N18" s="39"/>
      <c r="O18" s="39"/>
      <c r="P18" s="39"/>
      <c r="Q18" s="39"/>
      <c r="R18" s="39"/>
      <c r="S18" s="39"/>
      <c r="T18" s="39"/>
      <c r="U18" s="43"/>
      <c r="V18" s="43"/>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c r="A19" s="12"/>
      <c r="B19" s="40" t="s">
        <v>23</v>
      </c>
      <c r="C19" s="41"/>
      <c r="D19" s="42">
        <v>0</v>
      </c>
      <c r="E19" s="91">
        <f>Project_Start</f>
        <v>46064</v>
      </c>
      <c r="F19" s="92">
        <f>F18</f>
        <v>46122</v>
      </c>
      <c r="G19" s="14"/>
      <c r="H19" s="4">
        <f t="shared" ca="1" si="29"/>
        <v>59</v>
      </c>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row>
    <row r="20" spans="1:92" s="35" customFormat="1" ht="30" customHeight="1" thickBot="1">
      <c r="A20" s="112"/>
      <c r="B20" s="31" t="s">
        <v>24</v>
      </c>
      <c r="C20" s="32"/>
      <c r="D20" s="33"/>
      <c r="E20" s="89"/>
      <c r="F20" s="90"/>
      <c r="G20" s="14"/>
      <c r="H20" s="4" t="str">
        <f t="shared" ref="H20:H52" ca="1" si="30">IF(OR(ISBLANK(task_start),ISBLANK(task_end)),"",task_end-task_start+1)</f>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row>
    <row r="21" spans="1:92" s="35" customFormat="1" ht="30" customHeight="1" thickBot="1">
      <c r="A21" s="112"/>
      <c r="B21" s="36" t="s">
        <v>25</v>
      </c>
      <c r="C21" s="37"/>
      <c r="D21" s="38">
        <v>0.33</v>
      </c>
      <c r="E21" s="91">
        <f>Project_Start</f>
        <v>46064</v>
      </c>
      <c r="F21" s="91">
        <f>E21+58</f>
        <v>46122</v>
      </c>
      <c r="G21" s="14"/>
      <c r="H21" s="4">
        <f t="shared" ca="1" si="30"/>
        <v>59</v>
      </c>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c r="A22" s="112"/>
      <c r="B22" s="36" t="s">
        <v>26</v>
      </c>
      <c r="C22" s="37"/>
      <c r="D22" s="38"/>
      <c r="E22" s="91">
        <f>Project_Start</f>
        <v>46064</v>
      </c>
      <c r="F22" s="91">
        <f>E22+58</f>
        <v>46122</v>
      </c>
      <c r="G22" s="14"/>
      <c r="H22" s="4"/>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c r="A23" s="112"/>
      <c r="B23" s="40" t="s">
        <v>27</v>
      </c>
      <c r="C23" s="41"/>
      <c r="D23" s="42">
        <v>0.33</v>
      </c>
      <c r="E23" s="91">
        <f>F22+1</f>
        <v>46123</v>
      </c>
      <c r="F23" s="92">
        <f>E23+7</f>
        <v>46130</v>
      </c>
      <c r="G23" s="14"/>
      <c r="H23" s="4">
        <f t="shared" ca="1" si="30"/>
        <v>8</v>
      </c>
      <c r="I23" s="39"/>
      <c r="J23" s="39"/>
      <c r="K23" s="39"/>
      <c r="L23" s="39"/>
      <c r="M23" s="39"/>
      <c r="N23" s="39"/>
      <c r="O23" s="39"/>
      <c r="P23" s="39"/>
      <c r="Q23" s="39"/>
      <c r="R23" s="39"/>
      <c r="S23" s="39"/>
      <c r="T23" s="39"/>
      <c r="U23" s="43"/>
      <c r="V23" s="43"/>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row>
    <row r="24" spans="1:92" s="35" customFormat="1" ht="30" customHeight="1" thickBot="1">
      <c r="A24" s="112"/>
      <c r="B24" s="44" t="s">
        <v>28</v>
      </c>
      <c r="C24" s="45"/>
      <c r="D24" s="46"/>
      <c r="E24" s="93"/>
      <c r="F24" s="94"/>
      <c r="G24" s="14"/>
      <c r="H24" s="4" t="str">
        <f t="shared" ca="1" si="30"/>
        <v/>
      </c>
    </row>
    <row r="25" spans="1:92" s="35" customFormat="1" ht="30" customHeight="1" thickBot="1">
      <c r="A25" s="112"/>
      <c r="B25" s="47" t="s">
        <v>13</v>
      </c>
      <c r="C25" s="48"/>
      <c r="D25" s="49">
        <v>1</v>
      </c>
      <c r="E25" s="95">
        <f>Project_Start</f>
        <v>46064</v>
      </c>
      <c r="F25" s="95">
        <f>E25+20</f>
        <v>46084</v>
      </c>
      <c r="G25" s="14"/>
      <c r="H25" s="4">
        <f t="shared" ca="1" si="30"/>
        <v>21</v>
      </c>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c r="A26" s="12"/>
      <c r="B26" s="47" t="s">
        <v>29</v>
      </c>
      <c r="C26" s="48"/>
      <c r="D26" s="49">
        <v>0.8</v>
      </c>
      <c r="E26" s="95">
        <f>Project_Start</f>
        <v>46064</v>
      </c>
      <c r="F26" s="95">
        <f>E26+9</f>
        <v>46073</v>
      </c>
      <c r="G26" s="14"/>
      <c r="H26" s="4">
        <f t="shared" ca="1" si="30"/>
        <v>10</v>
      </c>
      <c r="I26" s="39"/>
      <c r="J26" s="39"/>
      <c r="K26" s="39"/>
      <c r="L26" s="39"/>
      <c r="M26" s="39"/>
      <c r="N26" s="39"/>
      <c r="O26" s="39"/>
      <c r="P26" s="39"/>
      <c r="Q26" s="39"/>
      <c r="R26" s="39"/>
      <c r="S26" s="39"/>
      <c r="T26" s="39"/>
      <c r="U26" s="43"/>
      <c r="V26" s="43"/>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c r="A27" s="12"/>
      <c r="B27" s="47" t="s">
        <v>15</v>
      </c>
      <c r="C27" s="48"/>
      <c r="D27" s="49">
        <v>1</v>
      </c>
      <c r="E27" s="95">
        <v>46083</v>
      </c>
      <c r="F27" s="95">
        <f>E27+10</f>
        <v>46093</v>
      </c>
      <c r="G27" s="14"/>
      <c r="H27" s="4">
        <f t="shared" ca="1" si="30"/>
        <v>11</v>
      </c>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c r="A28" s="12"/>
      <c r="B28" s="47" t="s">
        <v>16</v>
      </c>
      <c r="C28" s="48"/>
      <c r="D28" s="49">
        <v>1</v>
      </c>
      <c r="E28" s="95">
        <f>F27+1</f>
        <v>46094</v>
      </c>
      <c r="F28" s="95">
        <f>E28+7</f>
        <v>46101</v>
      </c>
      <c r="G28" s="14"/>
      <c r="H28" s="4">
        <f t="shared" ca="1" si="30"/>
        <v>8</v>
      </c>
      <c r="I28" s="39"/>
      <c r="J28" s="39"/>
      <c r="K28" s="39"/>
      <c r="L28" s="39"/>
      <c r="M28" s="39"/>
      <c r="N28" s="39"/>
      <c r="O28" s="39"/>
      <c r="P28" s="39"/>
      <c r="Q28" s="39"/>
      <c r="R28" s="39"/>
      <c r="S28" s="39"/>
      <c r="T28" s="39"/>
      <c r="U28" s="39"/>
      <c r="V28" s="39"/>
      <c r="W28" s="39"/>
      <c r="X28" s="39"/>
      <c r="Y28" s="43"/>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c r="A29" s="12"/>
      <c r="B29" s="47" t="s">
        <v>17</v>
      </c>
      <c r="C29" s="48"/>
      <c r="D29" s="49">
        <v>1</v>
      </c>
      <c r="E29" s="95">
        <f>E28</f>
        <v>46094</v>
      </c>
      <c r="F29" s="95">
        <f>E29+7</f>
        <v>46101</v>
      </c>
      <c r="G29" s="14"/>
      <c r="H29" s="4">
        <f t="shared" ca="1" si="30"/>
        <v>8</v>
      </c>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c r="A30" s="12"/>
      <c r="B30" s="47" t="s">
        <v>30</v>
      </c>
      <c r="C30" s="48"/>
      <c r="D30" s="49">
        <v>1</v>
      </c>
      <c r="E30" s="95">
        <f>F28+1</f>
        <v>46102</v>
      </c>
      <c r="F30" s="95">
        <f>E30+7</f>
        <v>46109</v>
      </c>
      <c r="G30" s="14"/>
      <c r="H30" s="4"/>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c r="A31" s="12"/>
      <c r="B31" s="47" t="s">
        <v>31</v>
      </c>
      <c r="C31" s="48"/>
      <c r="D31" s="49">
        <v>1</v>
      </c>
      <c r="E31" s="95">
        <f>F29+1</f>
        <v>46102</v>
      </c>
      <c r="F31" s="95">
        <f>E31+7</f>
        <v>46109</v>
      </c>
      <c r="G31" s="14"/>
      <c r="H31" s="4">
        <f t="shared" ca="1" si="30"/>
        <v>8</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c r="A32" s="12"/>
      <c r="B32" s="47" t="s">
        <v>32</v>
      </c>
      <c r="C32" s="48"/>
      <c r="D32" s="49">
        <v>0.15</v>
      </c>
      <c r="E32" s="95">
        <f>F31+1</f>
        <v>46110</v>
      </c>
      <c r="F32" s="95">
        <f>E32+3</f>
        <v>46113</v>
      </c>
      <c r="G32" s="14"/>
      <c r="H32" s="4">
        <f t="shared" ca="1" si="30"/>
        <v>4</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c r="A33" s="12"/>
      <c r="B33" s="47" t="s">
        <v>18</v>
      </c>
      <c r="C33" s="48"/>
      <c r="D33" s="49">
        <v>0</v>
      </c>
      <c r="E33" s="95">
        <f>F32+1</f>
        <v>46114</v>
      </c>
      <c r="F33" s="95">
        <f>E33+8</f>
        <v>46122</v>
      </c>
      <c r="G33" s="14"/>
      <c r="H33" s="4">
        <f t="shared" ca="1" si="30"/>
        <v>9</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c r="A34" s="12"/>
      <c r="B34" s="47" t="s">
        <v>33</v>
      </c>
      <c r="C34" s="48"/>
      <c r="D34" s="49">
        <v>0</v>
      </c>
      <c r="E34" s="95">
        <f>F32+1</f>
        <v>46114</v>
      </c>
      <c r="F34" s="95">
        <f>E34+7</f>
        <v>46121</v>
      </c>
      <c r="G34" s="14"/>
      <c r="H34" s="4">
        <f t="shared" ca="1"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c r="A35" s="12"/>
      <c r="B35" s="47" t="s">
        <v>34</v>
      </c>
      <c r="C35" s="48"/>
      <c r="D35" s="49">
        <v>0</v>
      </c>
      <c r="E35" s="95">
        <f>F33+1</f>
        <v>46123</v>
      </c>
      <c r="F35" s="95">
        <f>E35+7</f>
        <v>46130</v>
      </c>
      <c r="G35" s="14"/>
      <c r="H35" s="4">
        <f t="shared" ca="1" si="30"/>
        <v>8</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c r="A36" s="12"/>
      <c r="B36" s="50" t="s">
        <v>35</v>
      </c>
      <c r="C36" s="51"/>
      <c r="D36" s="52"/>
      <c r="E36" s="96"/>
      <c r="F36" s="97"/>
      <c r="G36" s="14"/>
      <c r="H36" s="4" t="str">
        <f t="shared" ca="1" si="30"/>
        <v/>
      </c>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c r="CH36" s="53"/>
      <c r="CI36" s="53"/>
      <c r="CJ36" s="53"/>
      <c r="CK36" s="53"/>
      <c r="CL36" s="53"/>
      <c r="CM36" s="53"/>
      <c r="CN36" s="53"/>
    </row>
    <row r="37" spans="1:92" s="35" customFormat="1" ht="68.099999999999994" customHeight="1" thickBot="1">
      <c r="A37" s="12"/>
      <c r="B37" s="108" t="s">
        <v>36</v>
      </c>
      <c r="C37" s="55"/>
      <c r="D37" s="56">
        <v>0.2</v>
      </c>
      <c r="E37" s="98">
        <f>Project_Start</f>
        <v>46064</v>
      </c>
      <c r="F37" s="98">
        <f>E37+14</f>
        <v>46078</v>
      </c>
      <c r="G37" s="14"/>
      <c r="H37" s="4">
        <f t="shared" ca="1" si="30"/>
        <v>15</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c r="A38" s="12"/>
      <c r="B38" s="54" t="s">
        <v>37</v>
      </c>
      <c r="C38" s="55"/>
      <c r="D38" s="56">
        <v>0.2</v>
      </c>
      <c r="E38" s="98">
        <f>F37+1</f>
        <v>46079</v>
      </c>
      <c r="F38" s="98">
        <f>F35</f>
        <v>46130</v>
      </c>
      <c r="G38" s="14"/>
      <c r="H38" s="4">
        <f t="shared" ca="1" si="30"/>
        <v>52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30" customHeight="1" thickBot="1">
      <c r="A39" s="12"/>
      <c r="B39" s="50" t="s">
        <v>38</v>
      </c>
      <c r="C39" s="51"/>
      <c r="D39" s="52"/>
      <c r="E39" s="96"/>
      <c r="F39" s="97"/>
      <c r="G39" s="14"/>
      <c r="H39" s="4" t="str">
        <f t="shared" ca="1" si="30"/>
        <v/>
      </c>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row>
    <row r="40" spans="1:92" s="35" customFormat="1" ht="42.95" thickBot="1">
      <c r="A40" s="12"/>
      <c r="B40" s="108" t="s">
        <v>39</v>
      </c>
      <c r="C40" s="55"/>
      <c r="D40" s="56">
        <v>0.9</v>
      </c>
      <c r="E40" s="98">
        <f>Project_Start</f>
        <v>46064</v>
      </c>
      <c r="F40" s="98">
        <f>E40+21</f>
        <v>46085</v>
      </c>
      <c r="G40" s="110" t="s">
        <v>40</v>
      </c>
      <c r="H40" s="4">
        <f t="shared" ca="1" si="30"/>
        <v>22</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24" customHeight="1" thickBot="1">
      <c r="A41" s="12"/>
      <c r="B41" s="108" t="s">
        <v>41</v>
      </c>
      <c r="C41" s="55"/>
      <c r="D41" s="56">
        <v>0.3</v>
      </c>
      <c r="E41" s="98">
        <f>F40</f>
        <v>46085</v>
      </c>
      <c r="F41" s="98">
        <f>F35</f>
        <v>46130</v>
      </c>
      <c r="G41" s="14"/>
      <c r="H41" s="4">
        <f t="shared" ca="1" si="30"/>
        <v>46</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5.1" customHeight="1" thickBot="1">
      <c r="A42" s="12"/>
      <c r="B42" s="54" t="s">
        <v>42</v>
      </c>
      <c r="C42" s="55"/>
      <c r="D42" s="56">
        <v>1</v>
      </c>
      <c r="E42" s="98">
        <f>F40</f>
        <v>46085</v>
      </c>
      <c r="F42" s="98">
        <f>F35</f>
        <v>46130</v>
      </c>
      <c r="G42" s="14"/>
      <c r="H42" s="4"/>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c r="A43" s="12"/>
      <c r="B43" s="54" t="s">
        <v>43</v>
      </c>
      <c r="C43" s="55"/>
      <c r="D43" s="56">
        <v>0</v>
      </c>
      <c r="E43" s="98"/>
      <c r="F43" s="98"/>
      <c r="G43" s="14"/>
      <c r="H43" s="4" t="str">
        <f t="shared" ca="1" si="30"/>
        <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c r="A44" s="12"/>
      <c r="B44" s="57" t="s">
        <v>44</v>
      </c>
      <c r="C44" s="58"/>
      <c r="D44" s="59"/>
      <c r="E44" s="99"/>
      <c r="F44" s="100"/>
      <c r="G44" s="14"/>
      <c r="H44" s="4" t="str">
        <f t="shared" ca="1" si="30"/>
        <v/>
      </c>
      <c r="I44" s="60"/>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c r="BU44" s="60"/>
      <c r="BV44" s="60"/>
      <c r="BW44" s="60"/>
      <c r="BX44" s="60"/>
      <c r="BY44" s="60"/>
      <c r="BZ44" s="60"/>
      <c r="CA44" s="60"/>
      <c r="CB44" s="60"/>
      <c r="CC44" s="60"/>
      <c r="CD44" s="60"/>
      <c r="CE44" s="60"/>
      <c r="CF44" s="60"/>
      <c r="CG44" s="60"/>
      <c r="CH44" s="60"/>
      <c r="CI44" s="60"/>
      <c r="CJ44" s="60"/>
      <c r="CK44" s="60"/>
      <c r="CL44" s="60"/>
      <c r="CM44" s="60"/>
      <c r="CN44" s="60"/>
    </row>
    <row r="45" spans="1:92" s="35" customFormat="1" ht="30" customHeight="1" thickBot="1">
      <c r="A45" s="12"/>
      <c r="B45" s="61" t="s">
        <v>45</v>
      </c>
      <c r="C45" s="62"/>
      <c r="D45" s="63">
        <v>1</v>
      </c>
      <c r="E45" s="101">
        <f>E37</f>
        <v>46064</v>
      </c>
      <c r="F45" s="101">
        <f>E49-3</f>
        <v>46157</v>
      </c>
      <c r="G45" s="14"/>
      <c r="H45" s="4">
        <f t="shared" ca="1" si="30"/>
        <v>94</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c r="A46" s="12"/>
      <c r="B46" s="61" t="s">
        <v>46</v>
      </c>
      <c r="C46" s="62"/>
      <c r="D46" s="63">
        <v>0.9</v>
      </c>
      <c r="E46" s="101">
        <v>46146</v>
      </c>
      <c r="F46" s="101">
        <f>E46+7</f>
        <v>46153</v>
      </c>
      <c r="G46" s="14"/>
      <c r="H46" s="4">
        <f t="shared" ca="1"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c r="A47" s="12"/>
      <c r="B47" s="61" t="s">
        <v>47</v>
      </c>
      <c r="C47" s="62"/>
      <c r="D47" s="63">
        <v>0</v>
      </c>
      <c r="E47" s="101">
        <v>46146</v>
      </c>
      <c r="F47" s="101">
        <f>E47+7</f>
        <v>46153</v>
      </c>
      <c r="G47" s="14"/>
      <c r="H47" s="4">
        <f t="shared" ca="1"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c r="A48" s="12"/>
      <c r="B48" s="61" t="s">
        <v>48</v>
      </c>
      <c r="C48" s="62"/>
      <c r="D48" s="63">
        <v>0</v>
      </c>
      <c r="E48" s="101">
        <f>F47</f>
        <v>46153</v>
      </c>
      <c r="F48" s="101">
        <f>E48+7</f>
        <v>46160</v>
      </c>
      <c r="G48" s="14"/>
      <c r="H48" s="4">
        <f t="shared" ca="1"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c r="A49" s="12"/>
      <c r="B49" s="61" t="s">
        <v>49</v>
      </c>
      <c r="C49" s="62"/>
      <c r="D49" s="63">
        <v>0</v>
      </c>
      <c r="E49" s="101">
        <f>F48</f>
        <v>46160</v>
      </c>
      <c r="F49" s="101">
        <f>E49+7</f>
        <v>46167</v>
      </c>
      <c r="G49" s="14"/>
      <c r="H49" s="4">
        <f t="shared" ca="1" si="30"/>
        <v>8</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c r="A50" s="12"/>
      <c r="B50" s="61" t="s">
        <v>50</v>
      </c>
      <c r="C50" s="62"/>
      <c r="D50" s="63">
        <v>0</v>
      </c>
      <c r="E50" s="101">
        <f>F49</f>
        <v>46167</v>
      </c>
      <c r="F50" s="101">
        <f>E50+14</f>
        <v>46181</v>
      </c>
      <c r="G50" s="14"/>
      <c r="H50" s="4">
        <f t="shared" ca="1" si="30"/>
        <v>15</v>
      </c>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row>
    <row r="51" spans="1:92" s="35" customFormat="1" ht="30" customHeight="1" thickBot="1">
      <c r="A51" s="12"/>
      <c r="B51" s="64" t="s">
        <v>51</v>
      </c>
      <c r="C51" s="65"/>
      <c r="D51" s="66"/>
      <c r="E51" s="102"/>
      <c r="F51" s="102"/>
      <c r="G51" s="14"/>
      <c r="H51" s="4" t="str">
        <f t="shared" ca="1" si="30"/>
        <v/>
      </c>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row>
    <row r="52" spans="1:92" s="35" customFormat="1" ht="30" customHeight="1" thickBot="1">
      <c r="A52" s="112"/>
      <c r="B52" s="67" t="s">
        <v>52</v>
      </c>
      <c r="C52" s="68"/>
      <c r="D52" s="69"/>
      <c r="E52" s="103"/>
      <c r="F52" s="104"/>
      <c r="G52" s="14"/>
      <c r="H52" s="5" t="str">
        <f t="shared" ca="1" si="30"/>
        <v/>
      </c>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row>
    <row r="53" spans="1:92" ht="30" customHeight="1">
      <c r="G53" s="2"/>
    </row>
    <row r="54" spans="1:92" ht="30" customHeight="1">
      <c r="C54" s="13"/>
      <c r="F54" s="107"/>
    </row>
    <row r="55" spans="1:92" ht="30" customHeight="1">
      <c r="C55"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2">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5:BK32 I33:BM35">
    <cfRule type="expression" dxfId="44" priority="84" stopIfTrue="1">
      <formula>AND(task_end&gt;=I$5,task_start&lt;J$5)</formula>
    </cfRule>
  </conditionalFormatting>
  <conditionalFormatting sqref="I35:BK46 I4:BK8 I9:BZ10 BL15 I15:BK17 I20:BK22 I24:BK32 I33:BM34 BL35:BM35 BL38 BL42:BZ42 BL45:CA45 BL46:BM46 I47:BM47 I49:BK50">
    <cfRule type="expression" dxfId="43" priority="80">
      <formula>AND(TODAY()&gt;=I$5, TODAY()&lt;J$5)</formula>
    </cfRule>
  </conditionalFormatting>
  <conditionalFormatting sqref="I37:BK38 BL38 I41:BK43 BL42:BZ42">
    <cfRule type="expression" dxfId="42" priority="82" stopIfTrue="1">
      <formula>AND(task_end&gt;=I$5,task_start&lt;J$5)</formula>
    </cfRule>
  </conditionalFormatting>
  <conditionalFormatting sqref="I40:BK40">
    <cfRule type="expression" dxfId="41" priority="22" stopIfTrue="1">
      <formula>AND(task_end&gt;=I$5,task_start&lt;J$5)</formula>
    </cfRule>
  </conditionalFormatting>
  <conditionalFormatting sqref="I9:BZ10 I15:BL15 I17:BL17 I21:CC22">
    <cfRule type="expression" dxfId="40" priority="86" stopIfTrue="1">
      <formula>AND(task_end&gt;=I$5,task_start&lt;J$5)</formula>
    </cfRule>
  </conditionalFormatting>
  <conditionalFormatting sqref="I9:CN15 I17:CN19 I21:CN23">
    <cfRule type="expression" dxfId="39" priority="28">
      <formula>AND(task_start&lt;=I$5,ROUNDDOWN((task_end-task_start+1)*task_progress,0)+task_start-1&gt;=I$5)</formula>
    </cfRule>
  </conditionalFormatting>
  <conditionalFormatting sqref="I25:CN35">
    <cfRule type="expression" dxfId="38" priority="26">
      <formula>AND(task_start&lt;=I$5,ROUNDDOWN((task_end-task_start+1)*task_progress,0)+task_start-1&gt;=I$5)</formula>
    </cfRule>
  </conditionalFormatting>
  <conditionalFormatting sqref="I37:CN38">
    <cfRule type="expression" dxfId="37" priority="24">
      <formula>AND(task_start&lt;=I$5,ROUNDDOWN((task_end-task_start+1)*task_progress,0)+task_start-1&gt;=I$5)</formula>
    </cfRule>
  </conditionalFormatting>
  <conditionalFormatting sqref="I40:CN43">
    <cfRule type="expression" dxfId="36" priority="15">
      <formula>AND(task_start&lt;=I$5,ROUNDDOWN((task_end-task_start+1)*task_progress,0)+task_start-1&gt;=I$5)</formula>
    </cfRule>
  </conditionalFormatting>
  <conditionalFormatting sqref="BL25:BL32 BS25:BS32 BZ25:BZ33 CG25:CG35 CN25:CN35 BS34:BS35">
    <cfRule type="expression" dxfId="35" priority="121" stopIfTrue="1">
      <formula>AND(task_end&gt;=BL$5,task_start&lt;#REF!)</formula>
    </cfRule>
  </conditionalFormatting>
  <conditionalFormatting sqref="BL37 BS37 BZ37 CG37:CG38 CN37:CN38 BL40 BS40 BZ40 CG40:CG43 CN40:CN43 BL43 BS43 BZ43">
    <cfRule type="expression" dxfId="34" priority="123" stopIfTrue="1">
      <formula>AND(task_end&gt;=BL$5,task_start&lt;#REF!)</formula>
    </cfRule>
  </conditionalFormatting>
  <conditionalFormatting sqref="BL45:CA45 I45:BK46 BL46:BM46 I47:BM47 I49:BK50">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5:BR32 BN33:BS35">
    <cfRule type="expression" dxfId="31" priority="45" stopIfTrue="1">
      <formula>AND(task_end&gt;=BM$5,task_start&lt;BN$5)</formula>
    </cfRule>
  </conditionalFormatting>
  <conditionalFormatting sqref="BM37:BR38 BM43:BR43">
    <cfRule type="expression" dxfId="30" priority="43" stopIfTrue="1">
      <formula>AND(task_end&gt;=BM$5,task_start&lt;BN$5)</formula>
    </cfRule>
  </conditionalFormatting>
  <conditionalFormatting sqref="BM40:BR40">
    <cfRule type="expression" dxfId="29" priority="20" stopIfTrue="1">
      <formula>AND(task_end&gt;=BM$5,task_start&lt;BN$5)</formula>
    </cfRule>
  </conditionalFormatting>
  <conditionalFormatting sqref="BM15:BT15">
    <cfRule type="expression" dxfId="28" priority="47" stopIfTrue="1">
      <formula>AND(task_end&gt;=BM$5,task_start&lt;BN$5)</formula>
    </cfRule>
  </conditionalFormatting>
  <conditionalFormatting sqref="BN46:BT47 I48:BT48">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5:BS16 BS34:BS37 BL4:BL8 BS4:BS8 BZ4:BZ8 CG4:CG44 CN4:CN50 BL16 BZ16 BL20 BS20 BZ20 BL24:BL32 BS24:BS32 BZ24:BZ33 BL36:BL37 BZ36:BZ37 BL39:BL40 BS39:BS40 BZ39:BZ40 BL43:BL44 BS43:BS44 BZ43:BZ44 CG46:CG49 BL49">
    <cfRule type="expression" dxfId="25" priority="117">
      <formula>AND(TODAY()&gt;=BL$5, TODAY()&lt;#REF!)</formula>
    </cfRule>
  </conditionalFormatting>
  <conditionalFormatting sqref="BS15:BT15 BM36:BR40 BM4:BR8 BM15:BR16 BM20:BR20 BM24:BR32 BN33:BS35 BM43:BR44 BN46:BT47 I48:BT48">
    <cfRule type="expression" dxfId="24" priority="41">
      <formula>AND(TODAY()&gt;=I$5, TODAY()&lt;J$5)</formula>
    </cfRule>
  </conditionalFormatting>
  <conditionalFormatting sqref="BT25:BY35">
    <cfRule type="expression" dxfId="23" priority="36" stopIfTrue="1">
      <formula>AND(task_end&gt;=BT$5,task_start&lt;BU$5)</formula>
    </cfRule>
  </conditionalFormatting>
  <conditionalFormatting sqref="BT37:BY37 BT43:BY43">
    <cfRule type="expression" dxfId="22" priority="34" stopIfTrue="1">
      <formula>AND(task_end&gt;=BT$5,task_start&lt;BU$5)</formula>
    </cfRule>
  </conditionalFormatting>
  <conditionalFormatting sqref="BT39:BY40 BT4:BY8 BZ15 BT15:BY16 BT20:BY20 BT24:BY37 BT43:BY44 BU46:CA46">
    <cfRule type="expression" dxfId="21" priority="32">
      <formula>AND(TODAY()&gt;=BT$5, TODAY()&lt;BU$5)</formula>
    </cfRule>
  </conditionalFormatting>
  <conditionalFormatting sqref="BT40:BY40">
    <cfRule type="expression" dxfId="20" priority="18" stopIfTrue="1">
      <formula>AND(task_end&gt;=BT$5,task_start&lt;BU$5)</formula>
    </cfRule>
  </conditionalFormatting>
  <conditionalFormatting sqref="BT15:BZ15">
    <cfRule type="expression" dxfId="19" priority="38" stopIfTrue="1">
      <formula>AND(task_end&gt;=BT$5,task_start&lt;BU$5)</formula>
    </cfRule>
  </conditionalFormatting>
  <conditionalFormatting sqref="BU46:CA46">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4 CA15:CF15 BM17:CF17 I18:CF19 CD21:CF22 I23:CF23">
    <cfRule type="expression" dxfId="16" priority="29" stopIfTrue="1">
      <formula>AND(task_end&gt;=I$5,task_start&lt;J$5)</formula>
    </cfRule>
  </conditionalFormatting>
  <conditionalFormatting sqref="CA25:CF33 BZ34:CF35">
    <cfRule type="expression" dxfId="15" priority="27" stopIfTrue="1">
      <formula>AND(task_end&gt;=BZ$5,task_start&lt;CA$5)</formula>
    </cfRule>
  </conditionalFormatting>
  <conditionalFormatting sqref="CA37:CF37 BS38:CF38 BL41:CF41 CA42:CF43">
    <cfRule type="expression" dxfId="14" priority="25" stopIfTrue="1">
      <formula>AND(task_end&gt;=BL$5,task_start&lt;BM$5)</formula>
    </cfRule>
  </conditionalFormatting>
  <conditionalFormatting sqref="CA39:CF40 CA4:CF10 I11:CF14 CA15:CF16 BL17:CF17 I18:CF19 CA20:CF20 BL21:CF22 I23:CF23 CA24:CF33 BZ34:CF35 CA36:CF37 BS38:CF38 BL41:CF41 CA42:CF44 CB45:CF46 BU47:CF48 BM49:CF49">
    <cfRule type="expression" dxfId="13" priority="23">
      <formula>AND(TODAY()&gt;=I$5, TODAY()&lt;J$5)</formula>
    </cfRule>
  </conditionalFormatting>
  <conditionalFormatting sqref="CA40:CF40">
    <cfRule type="expression" dxfId="12" priority="16" stopIfTrue="1">
      <formula>AND(task_end&gt;=CA$5,task_start&lt;CB$5)</formula>
    </cfRule>
  </conditionalFormatting>
  <conditionalFormatting sqref="CB45:CF46 BU47:CF48 BM49:CF49">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5 CN9:CN15 BS15 CG17:CG19 CN17:CN19 CG21:CG23 CN21:CN23">
    <cfRule type="expression" dxfId="9" priority="119" stopIfTrue="1">
      <formula>AND(task_end&gt;=BS$5,task_start&lt;#REF!)</formula>
    </cfRule>
  </conditionalFormatting>
  <conditionalFormatting sqref="CG45:CM45 CH46:CM49 BL50:CM50">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4 CG45:CM45 CH46:CM49 BL50:CM50">
    <cfRule type="expression" dxfId="6" priority="2">
      <formula>AND(TODAY()&gt;=BL$5, TODAY()&lt;BM$5)</formula>
    </cfRule>
  </conditionalFormatting>
  <conditionalFormatting sqref="CH9:CM15 CH17:CM19 CH21:CM23">
    <cfRule type="expression" dxfId="5" priority="5" stopIfTrue="1">
      <formula>AND(task_end&gt;=CH$5,task_start&lt;CI$5)</formula>
    </cfRule>
  </conditionalFormatting>
  <conditionalFormatting sqref="CH25:CM35">
    <cfRule type="expression" dxfId="4" priority="4" stopIfTrue="1">
      <formula>AND(task_end&gt;=CH$5,task_start&lt;CI$5)</formula>
    </cfRule>
  </conditionalFormatting>
  <conditionalFormatting sqref="CH37:CM38 CH41:CM43">
    <cfRule type="expression" dxfId="3" priority="3" stopIfTrue="1">
      <formula>AND(task_end&gt;=CH$5,task_start&lt;CI$5)</formula>
    </cfRule>
  </conditionalFormatting>
  <conditionalFormatting sqref="CH40:CM40">
    <cfRule type="expression" dxfId="2" priority="1" stopIfTrue="1">
      <formula>AND(task_end&gt;=CH$5,task_start&lt;CI$5)</formula>
    </cfRule>
  </conditionalFormatting>
  <conditionalFormatting sqref="CN45:CN50 CG46:CG49 BL49">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20 A8 A16"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1:A22 A9 A17"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3 A10 A18"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4" xr:uid="{4F48FC41-E335-47F1-87AA-3333A52AD81C}"/>
    <dataValidation allowBlank="1" showInputMessage="1" showErrorMessage="1" prompt="Phase 3's sample block starts in cell B20." sqref="A36 A39" xr:uid="{956902D1-D3B5-416D-BB69-9362D193BC0A}"/>
    <dataValidation allowBlank="1" showInputMessage="1" showErrorMessage="1" prompt="Phase 4's sample block starts in cell B26." sqref="A4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2"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95"/>
  <cols>
    <col min="1" max="1" width="87" style="6" customWidth="1"/>
    <col min="2" max="16384" width="9" style="1"/>
  </cols>
  <sheetData>
    <row r="1" spans="1:2" ht="46.5" customHeight="1"/>
    <row r="2" spans="1:2" s="8" customFormat="1" ht="15.95">
      <c r="A2" s="74" t="s">
        <v>53</v>
      </c>
      <c r="B2" s="7"/>
    </row>
    <row r="3" spans="1:2" s="10" customFormat="1" ht="27" customHeight="1">
      <c r="A3" s="75"/>
      <c r="B3" s="11"/>
    </row>
    <row r="4" spans="1:2" s="9" customFormat="1" ht="30.95">
      <c r="A4" s="76" t="s">
        <v>54</v>
      </c>
    </row>
    <row r="5" spans="1:2" ht="74.25" customHeight="1">
      <c r="A5" s="77" t="s">
        <v>55</v>
      </c>
    </row>
    <row r="6" spans="1:2" ht="26.25" customHeight="1">
      <c r="A6" s="76" t="s">
        <v>56</v>
      </c>
    </row>
    <row r="7" spans="1:2" s="6" customFormat="1" ht="205.35" customHeight="1">
      <c r="A7" s="78" t="s">
        <v>57</v>
      </c>
    </row>
    <row r="8" spans="1:2" s="9" customFormat="1" ht="30.95">
      <c r="A8" s="76" t="s">
        <v>58</v>
      </c>
    </row>
    <row r="9" spans="1:2" ht="60">
      <c r="A9" s="77" t="s">
        <v>59</v>
      </c>
    </row>
    <row r="10" spans="1:2" s="6" customFormat="1" ht="28.35" customHeight="1">
      <c r="A10" s="79" t="s">
        <v>60</v>
      </c>
    </row>
    <row r="11" spans="1:2" s="9" customFormat="1" ht="30.95">
      <c r="A11" s="76" t="s">
        <v>61</v>
      </c>
    </row>
    <row r="12" spans="1:2" ht="30">
      <c r="A12" s="77" t="s">
        <v>62</v>
      </c>
    </row>
    <row r="13" spans="1:2" s="6" customFormat="1" ht="28.35" customHeight="1">
      <c r="A13" s="79" t="s">
        <v>63</v>
      </c>
    </row>
    <row r="14" spans="1:2" s="9" customFormat="1" ht="30.95">
      <c r="A14" s="76" t="s">
        <v>64</v>
      </c>
    </row>
    <row r="15" spans="1:2" ht="75" customHeight="1">
      <c r="A15" s="77" t="s">
        <v>65</v>
      </c>
    </row>
    <row r="16" spans="1:2" ht="75">
      <c r="A16" s="77" t="s">
        <v>66</v>
      </c>
    </row>
    <row r="17" spans="1:1">
      <c r="A17" s="80"/>
    </row>
    <row r="18" spans="1:1">
      <c r="A18" s="80"/>
    </row>
    <row r="19" spans="1:1">
      <c r="A19" s="80"/>
    </row>
    <row r="20" spans="1:1">
      <c r="A20" s="80"/>
    </row>
    <row r="21" spans="1:1">
      <c r="A21" s="80"/>
    </row>
    <row r="22" spans="1:1">
      <c r="A22" s="80"/>
    </row>
    <row r="23" spans="1:1">
      <c r="A23" s="80"/>
    </row>
    <row r="24" spans="1:1">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file>

<file path=customXml/itemProps2.xml><?xml version="1.0" encoding="utf-8"?>
<ds:datastoreItem xmlns:ds="http://schemas.openxmlformats.org/officeDocument/2006/customXml" ds:itemID="{97245281-08F3-4104-84BD-39F3D8CFB195}"/>
</file>

<file path=customXml/itemProps3.xml><?xml version="1.0" encoding="utf-8"?>
<ds:datastoreItem xmlns:ds="http://schemas.openxmlformats.org/officeDocument/2006/customXml" ds:itemID="{C2348D59-3426-404A-A0C5-6456F6613EDB}"/>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2026-02-11T10:34:20Z</dcterms:created>
  <dcterms:modified xsi:type="dcterms:W3CDTF">2026-04-13T07:38:25Z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