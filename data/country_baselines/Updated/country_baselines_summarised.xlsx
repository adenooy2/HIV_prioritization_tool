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country_baselines/Updated/"/>
    </mc:Choice>
  </mc:AlternateContent>
  <xr:revisionPtr revIDLastSave="79" documentId="14_{78023D7A-79C9-BB4A-96DA-66D3AFB5E9C6}" xr6:coauthVersionLast="47" xr6:coauthVersionMax="47" xr10:uidLastSave="{5C572DB0-F928-534D-8DF4-0652EBE0DF45}"/>
  <bookViews>
    <workbookView xWindow="0" yWindow="600" windowWidth="28800" windowHeight="15820" xr2:uid="{B6C5909B-EEA9-8C48-8CDE-83CD703FC43E}"/>
  </bookViews>
  <sheets>
    <sheet name="Sheet2" sheetId="2" r:id="rId1"/>
    <sheet name="SA data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tc={214082FE-14FA-0647-801D-F9AB7F48F848}</author>
    <author>tc={9EA61213-9245-144C-A1BB-47FC06915A74}</author>
  </authors>
  <commentList>
    <comment ref="K4" authorId="0" shapeId="0" xr:uid="{214082FE-14FA-0647-801D-F9AB7F48F84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9EA61213-9245-144C-A1BB-47FC06915A74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sharedStrings.xml><?xml version="1.0" encoding="utf-8"?>
<sst xmlns="http://schemas.openxmlformats.org/spreadsheetml/2006/main" count="54" uniqueCount="51">
  <si>
    <t>country</t>
  </si>
  <si>
    <t>prep_oral</t>
  </si>
  <si>
    <t>prep_lenacapavir</t>
  </si>
  <si>
    <t>vmmc</t>
  </si>
  <si>
    <t>condoms</t>
  </si>
  <si>
    <t>pep</t>
  </si>
  <si>
    <t>infant_prophylaxis</t>
  </si>
  <si>
    <t>test_network</t>
  </si>
  <si>
    <t>test_facility_general</t>
  </si>
  <si>
    <t>test_index</t>
  </si>
  <si>
    <t>test_community</t>
  </si>
  <si>
    <t>test_kpsti</t>
  </si>
  <si>
    <t>hivst_facility</t>
  </si>
  <si>
    <t>hivst_community</t>
  </si>
  <si>
    <t>eid</t>
  </si>
  <si>
    <t>anc_hiv_testing</t>
  </si>
  <si>
    <t>pnc_hiv_testing</t>
  </si>
  <si>
    <t>vl_monitoring_routine</t>
  </si>
  <si>
    <t>mmd_3month</t>
  </si>
  <si>
    <t>mmd_6month</t>
  </si>
  <si>
    <t>mmd_12month</t>
  </si>
  <si>
    <t>community_pickup</t>
  </si>
  <si>
    <t>adherence_counseling</t>
  </si>
  <si>
    <t>tracking_tracing</t>
  </si>
  <si>
    <t>anc_vl_testing</t>
  </si>
  <si>
    <t>pnc_vl_testing</t>
  </si>
  <si>
    <t>cd4_testing</t>
  </si>
  <si>
    <t>ahd_package</t>
  </si>
  <si>
    <t>Mozambique</t>
  </si>
  <si>
    <t>Zambia</t>
  </si>
  <si>
    <t>Malawi</t>
  </si>
  <si>
    <t>Botswana</t>
  </si>
  <si>
    <t>South Africa</t>
  </si>
  <si>
    <t>Eswatini</t>
  </si>
  <si>
    <t>Kenya</t>
  </si>
  <si>
    <t>Ghana</t>
  </si>
  <si>
    <t>SA</t>
  </si>
  <si>
    <t>https://aidsinfo.unaids.org/</t>
  </si>
  <si>
    <t>Hiv tetsing among pregnant women</t>
  </si>
  <si>
    <t>ANC VL testing</t>
  </si>
  <si>
    <t>https://www.nicd.ac.za/wp-content/uploads/2024/01/Antenatal-survey-2022-report_National_Provincial_12Jul2023_Clean_01.pdf</t>
  </si>
  <si>
    <t>PNC VL testing</t>
  </si>
  <si>
    <t>https://cquin.icap.columbia.edu/wp-content/uploads/2025/11/South-Africa-VTP-Poster_Nov-2025_Final-for-Print.pdf</t>
  </si>
  <si>
    <t>Routine VL</t>
  </si>
  <si>
    <t>https://www.differentiatedservicedelivery.org/wp-content/uploads/NDOH-Prevention-Treatment-Care-and-Support-Priorities-_-Gates-Foundation-Partners-Meeting-11-12-Feb-2516.pdf</t>
  </si>
  <si>
    <t>https://hst-assets-s3.s3.eu-north-1.amazonaws.com/publications/District-Health-Barometer-2024_2025.pdf</t>
  </si>
  <si>
    <t>oral prep</t>
  </si>
  <si>
    <t>https://www.spotlightnsp.co.za/2026/05/15/sas-arv-programme-hardly-grew-in-2025-according-to-latest-estimates/</t>
  </si>
  <si>
    <t xml:space="preserve">vmmc </t>
  </si>
  <si>
    <t>~290000</t>
  </si>
  <si>
    <t>Thembisa 2025. https://www.spotlightnsp.co.za/hiv-dashboard/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</si>
</sst>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Lucida Sans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0" borderId="0" xfId="0" applyAlignment="1">
      <alignment horizontal="right" wrapText="1"/>
    </xf>
    <xf numFmtId="0" fontId="0" fillId="0" borderId="1" xfId="0" applyBorder="1" applyAlignment="1">
      <alignment horizontal="right"/>
    </xf>
    <xf numFmtId="3" fontId="0" fillId="0" borderId="1" xfId="0" applyNumberFormat="1" applyBorder="1" applyAlignment="1">
      <alignment horizontal="right"/>
    </xf>
    <xf numFmtId="164" fontId="3" fillId="0" borderId="0" xfId="1" applyNumberFormat="1" applyFont="1" applyAlignment="1">
      <alignment horizontal="right" wrapText="1"/>
    </xf>
    <xf numFmtId="164" fontId="3" fillId="0" borderId="0" xfId="1" applyNumberFormat="1" applyFont="1" applyFill="1" applyBorder="1" applyAlignment="1">
      <alignment horizontal="right" wrapText="1"/>
    </xf>
    <xf numFmtId="164" fontId="4" fillId="0" borderId="1" xfId="1" applyNumberFormat="1" applyFont="1" applyBorder="1"/>
    <xf numFmtId="43" fontId="4" fillId="0" borderId="1" xfId="1" applyFont="1" applyBorder="1"/>
    <xf numFmtId="164" fontId="4" fillId="0" borderId="3" xfId="1" applyNumberFormat="1" applyFont="1" applyFill="1" applyBorder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9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n Phiri" id="{5C421396-DDD7-7544-B72E-8164399E8CC5}" userId="S::jphiri@hivmw.org::153ac18e-b8b8-4307-ae1e-382ef26ad91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14082FE-14FA-0647-801D-F9AB7F48F848}">
    <text>Community-Based HIV Test in 2025</text>
  </threadedComment>
  <threadedComment ref="L4" dT="2026-06-05T07:06:08.87" personId="{5C421396-DDD7-7544-B72E-8164399E8CC5}" id="{9EA61213-9245-144C-A1BB-47FC06915A74}">
    <text>90% HIV Ascertainment in STI services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69831-8138-B640-8215-2EE7ACAC45E9}">
  <dimension ref="A1:AB29"/>
  <sheetViews>
    <sheetView tabSelected="1" workbookViewId="0">
      <selection activeCell="I22" sqref="I22"/>
    </sheetView>
  </sheetViews>
  <sheetFormatPr defaultColWidth="11" defaultRowHeight="15.95"/>
  <cols>
    <col min="3" max="3" width="15.125" bestFit="1" customWidth="1"/>
    <col min="5" max="5" width="12.5" bestFit="1" customWidth="1"/>
    <col min="9" max="9" width="17.625" bestFit="1" customWidth="1"/>
    <col min="22" max="22" width="21" customWidth="1"/>
  </cols>
  <sheetData>
    <row r="1" spans="1:2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>
      <c r="A5" s="1" t="s">
        <v>31</v>
      </c>
      <c r="B5">
        <v>6631</v>
      </c>
      <c r="D5">
        <v>3639</v>
      </c>
      <c r="G5">
        <v>97</v>
      </c>
      <c r="I5">
        <v>302749</v>
      </c>
      <c r="J5">
        <v>4058</v>
      </c>
      <c r="N5">
        <v>18513</v>
      </c>
      <c r="O5" s="14">
        <v>90</v>
      </c>
      <c r="P5" s="14">
        <v>97</v>
      </c>
      <c r="Q5" s="14"/>
      <c r="R5" s="14">
        <v>45</v>
      </c>
      <c r="S5" s="14">
        <v>56</v>
      </c>
      <c r="T5" s="14">
        <v>0</v>
      </c>
      <c r="U5" s="14">
        <v>0</v>
      </c>
      <c r="V5" s="14">
        <v>0</v>
      </c>
      <c r="W5" s="14"/>
      <c r="X5" s="14"/>
      <c r="Y5" s="14"/>
      <c r="Z5" s="14"/>
      <c r="AA5" s="14">
        <v>2</v>
      </c>
      <c r="AB5" s="14"/>
    </row>
    <row r="6" spans="1:28">
      <c r="A6" s="1" t="s">
        <v>32</v>
      </c>
      <c r="B6">
        <v>580000</v>
      </c>
      <c r="D6">
        <v>290000</v>
      </c>
      <c r="E6">
        <v>685663529</v>
      </c>
      <c r="O6">
        <v>73</v>
      </c>
      <c r="P6">
        <v>87</v>
      </c>
      <c r="R6">
        <v>80</v>
      </c>
      <c r="S6">
        <v>95</v>
      </c>
      <c r="T6">
        <v>5</v>
      </c>
      <c r="U6">
        <v>0</v>
      </c>
      <c r="Y6">
        <v>88.1</v>
      </c>
      <c r="Z6">
        <v>46</v>
      </c>
      <c r="AA6">
        <v>66</v>
      </c>
    </row>
    <row r="7" spans="1:28">
      <c r="A7" s="1" t="s">
        <v>33</v>
      </c>
      <c r="B7">
        <v>25694</v>
      </c>
      <c r="C7">
        <v>302</v>
      </c>
      <c r="D7">
        <v>1438</v>
      </c>
      <c r="I7">
        <v>175431</v>
      </c>
      <c r="J7">
        <v>0</v>
      </c>
      <c r="K7">
        <v>0</v>
      </c>
      <c r="L7">
        <v>0</v>
      </c>
      <c r="M7">
        <v>32160</v>
      </c>
      <c r="N7">
        <f>91886-M7</f>
        <v>59726</v>
      </c>
      <c r="P7">
        <v>95</v>
      </c>
      <c r="R7">
        <v>92.2</v>
      </c>
      <c r="S7">
        <v>49.5</v>
      </c>
      <c r="T7">
        <v>28.4</v>
      </c>
      <c r="U7">
        <v>0</v>
      </c>
      <c r="V7">
        <v>2.2999999999999998</v>
      </c>
      <c r="AA7">
        <v>64.2</v>
      </c>
      <c r="AB7">
        <v>100</v>
      </c>
    </row>
    <row r="8" spans="1:28">
      <c r="A8" s="1" t="s">
        <v>34</v>
      </c>
      <c r="B8">
        <v>173981</v>
      </c>
      <c r="C8">
        <v>0</v>
      </c>
      <c r="D8">
        <v>13790</v>
      </c>
      <c r="K8">
        <v>0</v>
      </c>
      <c r="L8">
        <v>25199</v>
      </c>
      <c r="M8">
        <v>0</v>
      </c>
      <c r="N8">
        <v>0</v>
      </c>
      <c r="P8">
        <v>88</v>
      </c>
      <c r="Q8">
        <v>0</v>
      </c>
      <c r="S8">
        <v>20.100000000000001</v>
      </c>
      <c r="T8">
        <v>40.1</v>
      </c>
      <c r="U8">
        <v>38.799999999999997</v>
      </c>
      <c r="V8">
        <v>1</v>
      </c>
      <c r="Y8">
        <v>92</v>
      </c>
      <c r="Z8">
        <v>92</v>
      </c>
      <c r="AA8">
        <v>7</v>
      </c>
      <c r="AB8">
        <v>1</v>
      </c>
    </row>
    <row r="9" spans="1:28">
      <c r="A9" s="1" t="s">
        <v>35</v>
      </c>
      <c r="B9">
        <v>15395</v>
      </c>
      <c r="C9">
        <v>0</v>
      </c>
      <c r="D9">
        <v>0</v>
      </c>
      <c r="G9">
        <v>95</v>
      </c>
      <c r="H9">
        <v>0</v>
      </c>
      <c r="I9" s="15">
        <v>2163014</v>
      </c>
      <c r="J9" s="16">
        <v>26329</v>
      </c>
      <c r="K9">
        <v>0</v>
      </c>
      <c r="L9" s="15">
        <v>139054</v>
      </c>
      <c r="M9" s="14">
        <v>480960</v>
      </c>
      <c r="N9" s="17">
        <v>0</v>
      </c>
      <c r="O9" s="17">
        <v>96</v>
      </c>
      <c r="P9" s="17">
        <v>97</v>
      </c>
      <c r="R9">
        <v>67</v>
      </c>
      <c r="S9">
        <v>30</v>
      </c>
      <c r="T9">
        <v>60</v>
      </c>
      <c r="U9">
        <v>0.5</v>
      </c>
    </row>
    <row r="10" spans="1:28">
      <c r="A10" s="1"/>
    </row>
    <row r="11" spans="1:28">
      <c r="A11" s="1"/>
    </row>
    <row r="12" spans="1:28">
      <c r="A12" s="1"/>
    </row>
    <row r="13" spans="1:28">
      <c r="A13" s="1"/>
    </row>
    <row r="14" spans="1:28">
      <c r="A14" s="1"/>
    </row>
    <row r="15" spans="1:28">
      <c r="A15" s="1"/>
    </row>
    <row r="16" spans="1:2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418B9-1F0F-1140-BB8B-34C4D210D63F}">
  <dimension ref="A1:C9"/>
  <sheetViews>
    <sheetView workbookViewId="0">
      <selection activeCell="C18" sqref="C18"/>
    </sheetView>
  </sheetViews>
  <sheetFormatPr defaultColWidth="11" defaultRowHeight="15.95"/>
  <cols>
    <col min="1" max="1" width="29.5" bestFit="1" customWidth="1"/>
    <col min="2" max="2" width="10.125" bestFit="1" customWidth="1"/>
  </cols>
  <sheetData>
    <row r="1" spans="1:3">
      <c r="A1" t="s">
        <v>36</v>
      </c>
    </row>
    <row r="2" spans="1:3">
      <c r="A2" t="s">
        <v>14</v>
      </c>
      <c r="B2" s="18">
        <v>0.73</v>
      </c>
      <c r="C2" t="s">
        <v>37</v>
      </c>
    </row>
    <row r="3" spans="1:3">
      <c r="A3" t="s">
        <v>38</v>
      </c>
      <c r="B3">
        <v>87</v>
      </c>
      <c r="C3" t="s">
        <v>37</v>
      </c>
    </row>
    <row r="4" spans="1:3">
      <c r="A4" t="s">
        <v>39</v>
      </c>
      <c r="B4">
        <v>88.1</v>
      </c>
      <c r="C4" t="s">
        <v>40</v>
      </c>
    </row>
    <row r="5" spans="1:3">
      <c r="A5" t="s">
        <v>41</v>
      </c>
      <c r="B5">
        <v>46</v>
      </c>
      <c r="C5" t="s">
        <v>42</v>
      </c>
    </row>
    <row r="6" spans="1:3">
      <c r="A6" t="s">
        <v>43</v>
      </c>
      <c r="B6">
        <v>80</v>
      </c>
      <c r="C6" t="s">
        <v>44</v>
      </c>
    </row>
    <row r="7" spans="1:3">
      <c r="A7" t="s">
        <v>4</v>
      </c>
      <c r="B7">
        <v>685663529</v>
      </c>
      <c r="C7" t="s">
        <v>45</v>
      </c>
    </row>
    <row r="8" spans="1:3">
      <c r="A8" t="s">
        <v>46</v>
      </c>
      <c r="B8">
        <v>580000</v>
      </c>
      <c r="C8" t="s">
        <v>47</v>
      </c>
    </row>
    <row r="9" spans="1:3">
      <c r="A9" t="s">
        <v>48</v>
      </c>
      <c r="B9" t="s">
        <v>49</v>
      </c>
      <c r="C9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de Nooy</dc:creator>
  <cp:keywords/>
  <dc:description/>
  <cp:lastModifiedBy>Guest User</cp:lastModifiedBy>
  <cp:revision/>
  <dcterms:created xsi:type="dcterms:W3CDTF">2026-05-14T10:52:14Z</dcterms:created>
  <dcterms:modified xsi:type="dcterms:W3CDTF">2026-07-24T09:20:19Z</dcterms:modified>
  <cp:category/>
  <cp:contentStatus/>
</cp:coreProperties>
</file>