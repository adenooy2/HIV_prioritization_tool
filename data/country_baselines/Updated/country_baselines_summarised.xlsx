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country_baselines/Updated/"/>
    </mc:Choice>
  </mc:AlternateContent>
  <xr:revisionPtr revIDLastSave="1" documentId="14_{78023D7A-79C9-BB4A-96DA-66D3AFB5E9C6}" xr6:coauthVersionLast="47" xr6:coauthVersionMax="47" xr10:uidLastSave="{E98AE077-C375-0E4D-89BD-544B6E37D2D2}"/>
  <bookViews>
    <workbookView xWindow="0" yWindow="600" windowWidth="28800" windowHeight="15740" xr2:uid="{B6C5909B-EEA9-8C48-8CDE-83CD703FC43E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tc={214082FE-14FA-0647-801D-F9AB7F48F848}</author>
    <author>tc={9EA61213-9245-144C-A1BB-47FC06915A74}</author>
  </authors>
  <commentList>
    <comment ref="K4" authorId="0" shapeId="0" xr:uid="{214082FE-14FA-0647-801D-F9AB7F48F84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9EA61213-9245-144C-A1BB-47FC06915A74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tc={2310EEF3-F49B-1740-9531-F7745180ADE8}</author>
    <author>tc={D2460033-F738-7142-809A-6A6DE4B461DC}</author>
  </authors>
  <commentList>
    <comment ref="K4" authorId="0" shapeId="0" xr:uid="{2310EEF3-F49B-1740-9531-F7745180ADE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D2460033-F738-7142-809A-6A6DE4B461DC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sharedStrings.xml><?xml version="1.0" encoding="utf-8"?>
<sst xmlns="http://schemas.openxmlformats.org/spreadsheetml/2006/main" count="65" uniqueCount="34">
  <si>
    <t>prep_oral</t>
  </si>
  <si>
    <t>prep_lenacapavir</t>
  </si>
  <si>
    <t>vmmc</t>
  </si>
  <si>
    <t>condoms</t>
  </si>
  <si>
    <t>pep</t>
  </si>
  <si>
    <t>infant_prophylaxis</t>
  </si>
  <si>
    <t>test_network</t>
  </si>
  <si>
    <t>test_facility_general</t>
  </si>
  <si>
    <t>test_index</t>
  </si>
  <si>
    <t>test_community</t>
  </si>
  <si>
    <t>test_kpsti</t>
  </si>
  <si>
    <t>hivst_facility</t>
  </si>
  <si>
    <t>hivst_community</t>
  </si>
  <si>
    <t>eid</t>
  </si>
  <si>
    <t>anc_hiv_testing</t>
  </si>
  <si>
    <t>pnc_hiv_testing</t>
  </si>
  <si>
    <t>vl_monitoring_routine</t>
  </si>
  <si>
    <t>mmd_3month</t>
  </si>
  <si>
    <t>mmd_6month</t>
  </si>
  <si>
    <t>mmd_12month</t>
  </si>
  <si>
    <t>community_pickup</t>
  </si>
  <si>
    <t>adherence_counseling</t>
  </si>
  <si>
    <t>tracking_tracing</t>
  </si>
  <si>
    <t>anc_vl_testing</t>
  </si>
  <si>
    <t>pnc_vl_testing</t>
  </si>
  <si>
    <t>cd4_testing</t>
  </si>
  <si>
    <t>ahd_package</t>
  </si>
  <si>
    <t>country</t>
  </si>
  <si>
    <t>Mozambique</t>
  </si>
  <si>
    <t>Zambia</t>
  </si>
  <si>
    <t>Malawi</t>
  </si>
  <si>
    <t>Botswana</t>
  </si>
  <si>
    <t>South Africa</t>
  </si>
  <si>
    <t>Eswatini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</si>
</sst>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Lucida Sans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0" borderId="0" xfId="0" applyAlignment="1">
      <alignment horizontal="right" wrapText="1"/>
    </xf>
    <xf numFmtId="0" fontId="0" fillId="0" borderId="1" xfId="0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3" fillId="0" borderId="0" xfId="1" applyNumberFormat="1" applyFont="1" applyAlignment="1">
      <alignment horizontal="right" wrapText="1"/>
    </xf>
    <xf numFmtId="164" fontId="3" fillId="0" borderId="0" xfId="1" applyNumberFormat="1" applyFont="1" applyFill="1" applyBorder="1" applyAlignment="1">
      <alignment horizontal="right" wrapText="1"/>
    </xf>
    <xf numFmtId="164" fontId="4" fillId="0" borderId="1" xfId="1" applyNumberFormat="1" applyFont="1" applyBorder="1"/>
    <xf numFmtId="43" fontId="4" fillId="0" borderId="1" xfId="1" applyFont="1" applyBorder="1"/>
    <xf numFmtId="164" fontId="4" fillId="0" borderId="3" xfId="1" applyNumberFormat="1" applyFont="1" applyFill="1" applyBorder="1"/>
    <xf numFmtId="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Phiri" id="{5C421396-DDD7-7544-B72E-8164399E8CC5}" userId="S::jphiri@hivmw.org::153ac18e-b8b8-4307-ae1e-382ef26ad91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14082FE-14FA-0647-801D-F9AB7F48F848}">
    <text>Community-Based HIV Test in 2025</text>
  </threadedComment>
  <threadedComment ref="L4" dT="2026-06-05T07:06:08.87" personId="{5C421396-DDD7-7544-B72E-8164399E8CC5}" id="{9EA61213-9245-144C-A1BB-47FC06915A74}">
    <text>90% HIV Ascertainment in STI services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310EEF3-F49B-1740-9531-F7745180ADE8}">
    <text>Community-Based HIV Test in 2025</text>
  </threadedComment>
  <threadedComment ref="L4" dT="2026-06-05T07:06:08.87" personId="{5C421396-DDD7-7544-B72E-8164399E8CC5}" id="{D2460033-F738-7142-809A-6A6DE4B461DC}">
    <text>90% HIV Ascertainment in STI services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69831-8138-B640-8215-2EE7ACAC45E9}">
  <dimension ref="A1:AB29"/>
  <sheetViews>
    <sheetView tabSelected="1" workbookViewId="0">
      <selection activeCell="C25" sqref="C25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  <col min="22" max="22" width="2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 t="s">
        <v>31</v>
      </c>
      <c r="B5">
        <v>6631</v>
      </c>
      <c r="D5">
        <v>3639</v>
      </c>
      <c r="G5">
        <v>97</v>
      </c>
      <c r="I5">
        <v>302749</v>
      </c>
      <c r="J5">
        <v>4058</v>
      </c>
      <c r="N5">
        <v>18513</v>
      </c>
      <c r="O5" s="14">
        <v>90</v>
      </c>
      <c r="P5" s="14">
        <v>97</v>
      </c>
      <c r="Q5" s="14"/>
      <c r="R5" s="14">
        <v>45</v>
      </c>
      <c r="S5" s="14">
        <v>56</v>
      </c>
      <c r="T5" s="14">
        <v>0</v>
      </c>
      <c r="U5" s="14">
        <v>0</v>
      </c>
      <c r="V5" s="14">
        <v>0</v>
      </c>
      <c r="W5" s="14"/>
      <c r="X5" s="14"/>
      <c r="Y5" s="14"/>
      <c r="Z5" s="14"/>
      <c r="AA5" s="14">
        <v>2</v>
      </c>
      <c r="AB5" s="14"/>
    </row>
    <row r="6" spans="1:28" x14ac:dyDescent="0.2">
      <c r="A6" s="1" t="s">
        <v>32</v>
      </c>
      <c r="S6">
        <v>95</v>
      </c>
      <c r="T6">
        <v>5</v>
      </c>
      <c r="AA6">
        <v>66</v>
      </c>
    </row>
    <row r="7" spans="1:28" x14ac:dyDescent="0.2">
      <c r="A7" s="1" t="s">
        <v>33</v>
      </c>
      <c r="B7">
        <v>25694</v>
      </c>
      <c r="C7">
        <v>302</v>
      </c>
      <c r="D7">
        <v>1438</v>
      </c>
      <c r="I7">
        <v>175431</v>
      </c>
      <c r="J7">
        <v>0</v>
      </c>
      <c r="K7">
        <v>0</v>
      </c>
      <c r="L7">
        <v>0</v>
      </c>
      <c r="M7">
        <v>32160</v>
      </c>
      <c r="N7">
        <f>91886-M7</f>
        <v>59726</v>
      </c>
      <c r="P7">
        <v>95</v>
      </c>
      <c r="R7">
        <v>92.2</v>
      </c>
      <c r="S7">
        <v>49.5</v>
      </c>
      <c r="T7">
        <v>28.4</v>
      </c>
      <c r="U7">
        <v>0</v>
      </c>
      <c r="V7">
        <v>2.2999999999999998</v>
      </c>
      <c r="AA7">
        <v>64.2</v>
      </c>
      <c r="AB7">
        <v>100</v>
      </c>
    </row>
    <row r="8" spans="1:28" x14ac:dyDescent="0.2">
      <c r="A8" s="1"/>
    </row>
    <row r="9" spans="1:28" x14ac:dyDescent="0.2">
      <c r="A9" s="1"/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684A-C287-EF40-83C7-44769AE087D6}">
  <dimension ref="A1:AB29"/>
  <sheetViews>
    <sheetView workbookViewId="0">
      <selection activeCell="U13" sqref="U13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/>
    </row>
    <row r="6" spans="1:28" x14ac:dyDescent="0.2">
      <c r="A6" s="1"/>
    </row>
    <row r="7" spans="1:28" x14ac:dyDescent="0.2">
      <c r="A7" s="1"/>
    </row>
    <row r="8" spans="1:28" x14ac:dyDescent="0.2">
      <c r="A8" s="1"/>
    </row>
    <row r="9" spans="1:28" x14ac:dyDescent="0.2">
      <c r="A9" s="1"/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2026-05-14T10:52:14Z</dcterms:created>
  <dcterms:modified xsi:type="dcterms:W3CDTF">2026-07-13T12:30:10Z</dcterms:modified>
</cp:coreProperties>
</file>