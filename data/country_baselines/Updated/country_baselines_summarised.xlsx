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country_baselines/Updated/"/>
    </mc:Choice>
  </mc:AlternateContent>
  <xr:revisionPtr revIDLastSave="64" documentId="14_{78023D7A-79C9-BB4A-96DA-66D3AFB5E9C6}" xr6:coauthVersionLast="47" xr6:coauthVersionMax="47" xr10:uidLastSave="{AB8C1795-EFC0-DA46-9B56-828CF0ABCDAC}"/>
  <bookViews>
    <workbookView xWindow="0" yWindow="600" windowWidth="28800" windowHeight="15820" xr2:uid="{B6C5909B-EEA9-8C48-8CDE-83CD703FC43E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tc={214082FE-14FA-0647-801D-F9AB7F48F848}</author>
    <author>tc={9EA61213-9245-144C-A1BB-47FC06915A74}</author>
  </authors>
  <commentList>
    <comment ref="K4" authorId="0" shapeId="0" xr:uid="{214082FE-14FA-0647-801D-F9AB7F48F84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Community-Based HIV Test in 2025</t>
      </text>
    </comment>
    <comment ref="L4" authorId="1" shapeId="0" xr:uid="{9EA61213-9245-144C-A1BB-47FC06915A74}">
      <text>
        <t>[Threaded comment]
Your version of Excel allows you to read this threaded comment; however, any edits to it will get removed if the file is opened in a newer version of Excel. Learn more: https://go.microsoft.com/fwlink/?linkid=870924
Comment:
    90% HIV Ascertainment in STI services</t>
      </text>
    </comment>
  </commentList>
</comments>
</file>

<file path=xl/sharedStrings.xml><?xml version="1.0" encoding="utf-8"?>
<sst xmlns="http://schemas.openxmlformats.org/spreadsheetml/2006/main" count="47" uniqueCount="45">
  <si>
    <t>prep_oral</t>
  </si>
  <si>
    <t>prep_lenacapavir</t>
  </si>
  <si>
    <t>vmmc</t>
  </si>
  <si>
    <t>condoms</t>
  </si>
  <si>
    <t>pep</t>
  </si>
  <si>
    <t>infant_prophylaxis</t>
  </si>
  <si>
    <t>test_network</t>
  </si>
  <si>
    <t>test_facility_general</t>
  </si>
  <si>
    <t>test_index</t>
  </si>
  <si>
    <t>test_community</t>
  </si>
  <si>
    <t>test_kpsti</t>
  </si>
  <si>
    <t>hivst_facility</t>
  </si>
  <si>
    <t>hivst_community</t>
  </si>
  <si>
    <t>eid</t>
  </si>
  <si>
    <t>anc_hiv_testing</t>
  </si>
  <si>
    <t>pnc_hiv_testing</t>
  </si>
  <si>
    <t>vl_monitoring_routine</t>
  </si>
  <si>
    <t>mmd_3month</t>
  </si>
  <si>
    <t>mmd_6month</t>
  </si>
  <si>
    <t>mmd_12month</t>
  </si>
  <si>
    <t>community_pickup</t>
  </si>
  <si>
    <t>adherence_counseling</t>
  </si>
  <si>
    <t>tracking_tracing</t>
  </si>
  <si>
    <t>anc_vl_testing</t>
  </si>
  <si>
    <t>pnc_vl_testing</t>
  </si>
  <si>
    <t>cd4_testing</t>
  </si>
  <si>
    <t>ahd_package</t>
  </si>
  <si>
    <t>country</t>
  </si>
  <si>
    <t>Mozambique</t>
  </si>
  <si>
    <t>Zambia</t>
  </si>
  <si>
    <t>Malawi</t>
  </si>
  <si>
    <t>Botswana</t>
  </si>
  <si>
    <t>South Africa</t>
  </si>
  <si>
    <t>Eswatini</t>
  </si>
  <si>
    <t>Kenya</t>
  </si>
  <si>
    <t>Ghana</t>
  </si>
  <si>
    <t>SA</t>
  </si>
  <si>
    <t>https://aidsinfo.unaids.org/</t>
  </si>
  <si>
    <t>Hiv tetsing among pregnant women</t>
  </si>
  <si>
    <t>ANC VL testing</t>
  </si>
  <si>
    <t>https://www.nicd.ac.za/wp-content/uploads/2024/01/Antenatal-survey-2022-report_National_Provincial_12Jul2023_Clean_01.pdf</t>
  </si>
  <si>
    <t>PNC VL testing</t>
  </si>
  <si>
    <t>https://cquin.icap.columbia.edu/wp-content/uploads/2025/11/South-Africa-VTP-Poster_Nov-2025_Final-for-Print.pdf</t>
  </si>
  <si>
    <t>Routine VL</t>
  </si>
  <si>
    <t>https://www.differentiatedservicedelivery.org/wp-content/uploads/NDOH-Prevention-Treatment-Care-and-Support-Priorities-_-Gates-Foundation-Partners-Meeting-11-12-Feb-2516.pdf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</si>
</sst>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Lucida Sans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Alignment="1">
      <alignment horizontal="right" wrapText="1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3" fillId="0" borderId="0" xfId="1" applyNumberFormat="1" applyFont="1" applyAlignment="1">
      <alignment horizontal="right" wrapText="1"/>
    </xf>
    <xf numFmtId="164" fontId="3" fillId="0" borderId="0" xfId="1" applyNumberFormat="1" applyFont="1" applyFill="1" applyBorder="1" applyAlignment="1">
      <alignment horizontal="right" wrapText="1"/>
    </xf>
    <xf numFmtId="164" fontId="4" fillId="0" borderId="1" xfId="1" applyNumberFormat="1" applyFont="1" applyBorder="1"/>
    <xf numFmtId="43" fontId="4" fillId="0" borderId="1" xfId="1" applyFont="1" applyBorder="1"/>
    <xf numFmtId="164" fontId="4" fillId="0" borderId="3" xfId="1" applyNumberFormat="1" applyFont="1" applyFill="1" applyBorder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Phiri" id="{5C421396-DDD7-7544-B72E-8164399E8CC5}" userId="S::jphiri@hivmw.org::153ac18e-b8b8-4307-ae1e-382ef26ad9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6-06-05T07:00:54.77" personId="{5C421396-DDD7-7544-B72E-8164399E8CC5}" id="{214082FE-14FA-0647-801D-F9AB7F48F848}">
    <text>Community-Based HIV Test in 2025</text>
  </threadedComment>
  <threadedComment ref="L4" dT="2026-06-05T07:06:08.87" personId="{5C421396-DDD7-7544-B72E-8164399E8CC5}" id="{9EA61213-9245-144C-A1BB-47FC06915A74}">
    <text>90% HIV Ascertainment in STI services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9831-8138-B640-8215-2EE7ACAC45E9}">
  <dimension ref="A1:AB29"/>
  <sheetViews>
    <sheetView tabSelected="1" workbookViewId="0">
      <selection activeCell="A6" sqref="A6:XFD6"/>
    </sheetView>
  </sheetViews>
  <sheetFormatPr baseColWidth="10" defaultRowHeight="16" x14ac:dyDescent="0.2"/>
  <cols>
    <col min="3" max="3" width="15.1640625" bestFit="1" customWidth="1"/>
    <col min="5" max="5" width="12.5" bestFit="1" customWidth="1"/>
    <col min="9" max="9" width="17.6640625" bestFit="1" customWidth="1"/>
    <col min="22" max="22" width="21" customWidth="1"/>
  </cols>
  <sheetData>
    <row r="1" spans="1:28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 t="s">
        <v>28</v>
      </c>
      <c r="B2" s="2">
        <v>334817</v>
      </c>
      <c r="C2">
        <v>0</v>
      </c>
      <c r="D2" s="2">
        <v>147928</v>
      </c>
      <c r="E2">
        <v>159303077</v>
      </c>
      <c r="H2">
        <v>0</v>
      </c>
      <c r="I2" s="2">
        <v>11237387</v>
      </c>
      <c r="J2" s="2">
        <v>630566</v>
      </c>
      <c r="K2" s="2">
        <v>1064884</v>
      </c>
      <c r="L2" s="2">
        <v>222182</v>
      </c>
      <c r="M2" s="3">
        <v>0</v>
      </c>
      <c r="N2" s="2">
        <v>1322885</v>
      </c>
      <c r="O2" s="4">
        <v>90</v>
      </c>
      <c r="P2" s="4">
        <v>95</v>
      </c>
      <c r="R2" s="5">
        <v>67</v>
      </c>
      <c r="S2" s="5">
        <v>37</v>
      </c>
      <c r="T2" s="5">
        <v>40</v>
      </c>
      <c r="U2" s="5">
        <v>0.1</v>
      </c>
      <c r="V2" s="5">
        <v>2</v>
      </c>
      <c r="W2" s="5">
        <v>50</v>
      </c>
      <c r="X2" s="5">
        <v>85</v>
      </c>
      <c r="Y2" s="5">
        <v>77</v>
      </c>
      <c r="Z2" s="5">
        <v>80</v>
      </c>
      <c r="AA2" s="5">
        <v>24</v>
      </c>
      <c r="AB2" s="5"/>
    </row>
    <row r="3" spans="1:28" x14ac:dyDescent="0.2">
      <c r="A3" s="1" t="s">
        <v>29</v>
      </c>
      <c r="B3" s="6">
        <v>133901</v>
      </c>
      <c r="C3" s="7">
        <v>1624</v>
      </c>
      <c r="D3" s="6">
        <v>274325</v>
      </c>
      <c r="F3" s="8">
        <v>6454</v>
      </c>
      <c r="G3">
        <v>74</v>
      </c>
      <c r="H3">
        <v>0</v>
      </c>
      <c r="I3" s="9">
        <v>3671497</v>
      </c>
      <c r="J3" s="9">
        <v>291365</v>
      </c>
      <c r="K3" s="9">
        <v>516869</v>
      </c>
      <c r="L3" s="10">
        <v>0</v>
      </c>
      <c r="M3" s="10">
        <v>0</v>
      </c>
      <c r="N3" s="10">
        <v>0</v>
      </c>
      <c r="O3">
        <v>76</v>
      </c>
      <c r="P3" s="10">
        <v>93</v>
      </c>
      <c r="Q3" s="10">
        <v>24</v>
      </c>
      <c r="R3">
        <v>79</v>
      </c>
      <c r="S3">
        <v>4</v>
      </c>
      <c r="T3">
        <v>96</v>
      </c>
      <c r="U3">
        <v>0</v>
      </c>
      <c r="V3">
        <v>30</v>
      </c>
      <c r="W3">
        <v>95</v>
      </c>
      <c r="X3">
        <v>95</v>
      </c>
      <c r="AA3">
        <v>55</v>
      </c>
    </row>
    <row r="4" spans="1:28" x14ac:dyDescent="0.2">
      <c r="A4" s="1" t="s">
        <v>30</v>
      </c>
      <c r="B4" s="11">
        <v>58089</v>
      </c>
      <c r="C4">
        <v>0</v>
      </c>
      <c r="D4" s="11">
        <v>47890</v>
      </c>
      <c r="E4" s="11">
        <v>139000000</v>
      </c>
      <c r="F4" s="12">
        <v>32466</v>
      </c>
      <c r="G4" s="13">
        <v>91</v>
      </c>
      <c r="H4" s="11">
        <v>30762</v>
      </c>
      <c r="I4" s="11">
        <v>3569803</v>
      </c>
      <c r="J4" s="11">
        <v>129230</v>
      </c>
      <c r="K4" s="11">
        <v>129013</v>
      </c>
      <c r="L4" s="11">
        <v>513183</v>
      </c>
      <c r="M4" s="11">
        <v>1741863</v>
      </c>
      <c r="N4" s="11">
        <v>60432</v>
      </c>
      <c r="O4" s="13">
        <v>88</v>
      </c>
      <c r="P4" s="13">
        <v>96</v>
      </c>
      <c r="Q4" s="13">
        <v>15</v>
      </c>
      <c r="R4">
        <v>82</v>
      </c>
      <c r="S4">
        <v>47</v>
      </c>
      <c r="T4">
        <v>46</v>
      </c>
      <c r="U4">
        <v>0</v>
      </c>
      <c r="V4">
        <v>5</v>
      </c>
      <c r="AA4">
        <v>57</v>
      </c>
    </row>
    <row r="5" spans="1:28" x14ac:dyDescent="0.2">
      <c r="A5" s="1" t="s">
        <v>31</v>
      </c>
      <c r="B5">
        <v>6631</v>
      </c>
      <c r="D5">
        <v>3639</v>
      </c>
      <c r="G5">
        <v>97</v>
      </c>
      <c r="I5">
        <v>302749</v>
      </c>
      <c r="J5">
        <v>4058</v>
      </c>
      <c r="N5">
        <v>18513</v>
      </c>
      <c r="O5" s="14">
        <v>90</v>
      </c>
      <c r="P5" s="14">
        <v>97</v>
      </c>
      <c r="Q5" s="14"/>
      <c r="R5" s="14">
        <v>45</v>
      </c>
      <c r="S5" s="14">
        <v>56</v>
      </c>
      <c r="T5" s="14">
        <v>0</v>
      </c>
      <c r="U5" s="14">
        <v>0</v>
      </c>
      <c r="V5" s="14">
        <v>0</v>
      </c>
      <c r="W5" s="14"/>
      <c r="X5" s="14"/>
      <c r="Y5" s="14"/>
      <c r="Z5" s="14"/>
      <c r="AA5" s="14">
        <v>2</v>
      </c>
      <c r="AB5" s="14"/>
    </row>
    <row r="6" spans="1:28" x14ac:dyDescent="0.2">
      <c r="A6" s="1" t="s">
        <v>32</v>
      </c>
      <c r="O6">
        <v>73</v>
      </c>
      <c r="P6">
        <v>87</v>
      </c>
      <c r="R6">
        <v>80</v>
      </c>
      <c r="S6">
        <v>95</v>
      </c>
      <c r="T6">
        <v>5</v>
      </c>
      <c r="U6">
        <v>0</v>
      </c>
      <c r="Y6">
        <v>88.1</v>
      </c>
      <c r="Z6">
        <v>46</v>
      </c>
      <c r="AA6">
        <v>66</v>
      </c>
    </row>
    <row r="7" spans="1:28" x14ac:dyDescent="0.2">
      <c r="A7" s="1" t="s">
        <v>33</v>
      </c>
      <c r="B7">
        <v>25694</v>
      </c>
      <c r="C7">
        <v>302</v>
      </c>
      <c r="D7">
        <v>1438</v>
      </c>
      <c r="I7">
        <v>175431</v>
      </c>
      <c r="J7">
        <v>0</v>
      </c>
      <c r="K7">
        <v>0</v>
      </c>
      <c r="L7">
        <v>0</v>
      </c>
      <c r="M7">
        <v>32160</v>
      </c>
      <c r="N7">
        <f>91886-M7</f>
        <v>59726</v>
      </c>
      <c r="P7">
        <v>95</v>
      </c>
      <c r="R7">
        <v>92.2</v>
      </c>
      <c r="S7">
        <v>49.5</v>
      </c>
      <c r="T7">
        <v>28.4</v>
      </c>
      <c r="U7">
        <v>0</v>
      </c>
      <c r="V7">
        <v>2.2999999999999998</v>
      </c>
      <c r="AA7">
        <v>64.2</v>
      </c>
      <c r="AB7">
        <v>100</v>
      </c>
    </row>
    <row r="8" spans="1:28" x14ac:dyDescent="0.2">
      <c r="A8" s="1" t="s">
        <v>34</v>
      </c>
      <c r="B8">
        <v>173981</v>
      </c>
      <c r="C8">
        <v>0</v>
      </c>
      <c r="D8">
        <v>13790</v>
      </c>
      <c r="K8">
        <v>0</v>
      </c>
      <c r="L8">
        <v>25199</v>
      </c>
      <c r="M8">
        <v>0</v>
      </c>
      <c r="N8">
        <v>0</v>
      </c>
      <c r="P8">
        <v>88</v>
      </c>
      <c r="Q8">
        <v>0</v>
      </c>
      <c r="S8">
        <v>20.100000000000001</v>
      </c>
      <c r="T8">
        <v>40.1</v>
      </c>
      <c r="U8">
        <v>38.799999999999997</v>
      </c>
      <c r="V8">
        <v>1</v>
      </c>
      <c r="Y8">
        <v>92</v>
      </c>
      <c r="Z8">
        <v>92</v>
      </c>
      <c r="AA8">
        <v>7</v>
      </c>
      <c r="AB8">
        <v>1</v>
      </c>
    </row>
    <row r="9" spans="1:28" x14ac:dyDescent="0.2">
      <c r="A9" s="1" t="s">
        <v>35</v>
      </c>
      <c r="B9">
        <v>15395</v>
      </c>
      <c r="C9">
        <v>0</v>
      </c>
      <c r="D9">
        <v>0</v>
      </c>
      <c r="G9">
        <v>95</v>
      </c>
      <c r="H9">
        <v>0</v>
      </c>
      <c r="I9" s="15">
        <v>2163014</v>
      </c>
      <c r="J9" s="16">
        <v>26329</v>
      </c>
      <c r="K9">
        <v>0</v>
      </c>
      <c r="L9" s="15">
        <v>139054</v>
      </c>
      <c r="M9" s="14">
        <v>480960</v>
      </c>
      <c r="N9" s="17">
        <v>0</v>
      </c>
      <c r="O9" s="17">
        <v>96</v>
      </c>
      <c r="P9" s="17">
        <v>97</v>
      </c>
      <c r="R9">
        <v>67</v>
      </c>
      <c r="S9">
        <v>30</v>
      </c>
      <c r="T9">
        <v>60</v>
      </c>
      <c r="U9">
        <v>0.5</v>
      </c>
    </row>
    <row r="10" spans="1:28" x14ac:dyDescent="0.2">
      <c r="A10" s="1"/>
    </row>
    <row r="11" spans="1:28" x14ac:dyDescent="0.2">
      <c r="A11" s="1"/>
    </row>
    <row r="12" spans="1:28" x14ac:dyDescent="0.2">
      <c r="A12" s="1"/>
    </row>
    <row r="13" spans="1:28" x14ac:dyDescent="0.2">
      <c r="A13" s="1"/>
    </row>
    <row r="14" spans="1:28" x14ac:dyDescent="0.2">
      <c r="A14" s="1"/>
    </row>
    <row r="15" spans="1:28" x14ac:dyDescent="0.2">
      <c r="A15" s="1"/>
    </row>
    <row r="16" spans="1:28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18B9-1F0F-1140-BB8B-34C4D210D63F}">
  <dimension ref="A1:C6"/>
  <sheetViews>
    <sheetView workbookViewId="0">
      <selection activeCell="C27" sqref="C27"/>
    </sheetView>
  </sheetViews>
  <sheetFormatPr baseColWidth="10" defaultRowHeight="16" x14ac:dyDescent="0.2"/>
  <cols>
    <col min="1" max="1" width="29.5" bestFit="1" customWidth="1"/>
    <col min="2" max="2" width="5.1640625" bestFit="1" customWidth="1"/>
  </cols>
  <sheetData>
    <row r="1" spans="1:3" x14ac:dyDescent="0.2">
      <c r="A1" t="s">
        <v>36</v>
      </c>
    </row>
    <row r="2" spans="1:3" x14ac:dyDescent="0.2">
      <c r="A2" t="s">
        <v>13</v>
      </c>
      <c r="B2" s="18">
        <v>0.73</v>
      </c>
      <c r="C2" t="s">
        <v>37</v>
      </c>
    </row>
    <row r="3" spans="1:3" x14ac:dyDescent="0.2">
      <c r="A3" t="s">
        <v>38</v>
      </c>
      <c r="B3">
        <v>87</v>
      </c>
      <c r="C3" t="s">
        <v>37</v>
      </c>
    </row>
    <row r="4" spans="1:3" x14ac:dyDescent="0.2">
      <c r="A4" t="s">
        <v>39</v>
      </c>
      <c r="B4">
        <v>88.1</v>
      </c>
      <c r="C4" t="s">
        <v>40</v>
      </c>
    </row>
    <row r="5" spans="1:3" x14ac:dyDescent="0.2">
      <c r="A5" t="s">
        <v>41</v>
      </c>
      <c r="B5">
        <v>46</v>
      </c>
      <c r="C5" t="s">
        <v>42</v>
      </c>
    </row>
    <row r="6" spans="1:3" x14ac:dyDescent="0.2">
      <c r="A6" t="s">
        <v>43</v>
      </c>
      <c r="B6">
        <v>80</v>
      </c>
      <c r="C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2026-05-14T10:52:14Z</dcterms:created>
  <dcterms:modified xsi:type="dcterms:W3CDTF">2026-07-22T09:24:19Z</dcterms:modified>
</cp:coreProperties>
</file>