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d.docs.live.net/2ae90f5cbd0fd171/AMC/HIV Prioritization tool/HIV_prioritization_tool/data/country_baselines/Updated/"/>
    </mc:Choice>
  </mc:AlternateContent>
  <xr:revisionPtr revIDLastSave="0" documentId="13_ncr:1_{2A0AB2E9-CBC4-4949-AF91-C5F0F6D11BA4}" xr6:coauthVersionLast="47" xr6:coauthVersionMax="47" xr10:uidLastSave="{00000000-0000-0000-0000-000000000000}"/>
  <bookViews>
    <workbookView xWindow="0" yWindow="600" windowWidth="28800" windowHeight="15820" xr2:uid="{4C7C335E-1002-674F-9F40-BA0DD4A4E57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1" l="1"/>
</calcChain>
</file>

<file path=xl/sharedStrings.xml><?xml version="1.0" encoding="utf-8"?>
<sst xmlns="http://schemas.openxmlformats.org/spreadsheetml/2006/main" count="63" uniqueCount="57">
  <si>
    <t>PrEP (oral) number of new initiates</t>
  </si>
  <si>
    <t>PrEP (Len) number of new initiates</t>
  </si>
  <si>
    <t>Annual number of new VMMC</t>
  </si>
  <si>
    <t>Condoms distributed</t>
  </si>
  <si>
    <t>PEP (number of courses distributed)</t>
  </si>
  <si>
    <t>% of HIV-exposed infants receiving infant prophylaxis</t>
  </si>
  <si>
    <t>Facility-based general tests performed</t>
  </si>
  <si>
    <t>Key populations &amp; STI services tests</t>
  </si>
  <si>
    <t>Community-based tests</t>
  </si>
  <si>
    <t>Index tests</t>
  </si>
  <si>
    <t>Network tests</t>
  </si>
  <si>
    <t>Facility-based HIVSTs</t>
  </si>
  <si>
    <t>Community-based HIVSTs</t>
  </si>
  <si>
    <t>Early infant diagnosis: percent of HIV-exposed infants getting a test (and the test result)</t>
  </si>
  <si>
    <t>Percent of pregnant women getting an HIV test in ANC</t>
  </si>
  <si>
    <t>Percent of postpartum women getting an HIV test</t>
  </si>
  <si>
    <t>Percent of people on ART getting routine viral load monitoring</t>
  </si>
  <si>
    <t>Fast-track pick-up (% among stable clients)</t>
  </si>
  <si>
    <t>MMD: 12-month dispensing (% among stable clinets)</t>
  </si>
  <si>
    <t>MMD: 6-month dispensing (% among stable clients)</t>
  </si>
  <si>
    <t>MMD: 3 month dispensing (% among stable clinets)</t>
  </si>
  <si>
    <t>Community ART pick-up (% among stable clients)</t>
  </si>
  <si>
    <t>Differentiated service delivery (DSD) coverage</t>
  </si>
  <si>
    <t>ANC: viral load testing (% of pregnant women on ART who get a viral load test)</t>
  </si>
  <si>
    <t>PNC: viral load testing (% of postpartum women on ART who get a viral load test)</t>
  </si>
  <si>
    <t>CD4 testing (among all ART initiations) (% of total initiations)</t>
  </si>
  <si>
    <t>Full AHD package (LAM, CrAg, fluconazole) (% of AHD-diagnosed new initiations)</t>
  </si>
  <si>
    <t>Variable</t>
  </si>
  <si>
    <t>Adherence counseling (% of people on ART who receive adherence counseling)</t>
  </si>
  <si>
    <t>Tracking &amp; tracing (% of people who have been LTFU who are tracked)</t>
  </si>
  <si>
    <t>All numbers here are either placeholder values, or derived from publicly available datasets (such as GAM or PEPFAR  data). Updating with more accurate/country-specific values will improve the model!</t>
  </si>
  <si>
    <t>Prevention</t>
  </si>
  <si>
    <t>Placeholder values</t>
  </si>
  <si>
    <t>Updated estimate from country (most recent year of data available)</t>
  </si>
  <si>
    <t>Source/Year</t>
  </si>
  <si>
    <t>2025 - National VMMC Program</t>
  </si>
  <si>
    <t>NAC 2025, however we are using this number with the consideration of 20% wastage: 159303077</t>
  </si>
  <si>
    <t>Newly initiating PrEP, 2025 HIV Program.  Total with PrEP pickups is 334817</t>
  </si>
  <si>
    <t>without updated information</t>
  </si>
  <si>
    <t>HEI that receive CTZ - 97,391 received, and there were 99217 HEI in 2025</t>
  </si>
  <si>
    <t>2025 HIV Program</t>
  </si>
  <si>
    <t>We don't offically distribute in the HF, however there was a pilot in 2025, the data are not available at this moment</t>
  </si>
  <si>
    <t>2025 HIV Program - only KP</t>
  </si>
  <si>
    <t>HF with EMR (645) for 2025</t>
  </si>
  <si>
    <t>HF with EMR (645) for 2025 - combination of Mobile Brigae, Clinic Mobile, Community Dispensation for CHW, Community Dispenation by clinican</t>
  </si>
  <si>
    <t>HF with EMR (645) for 2025 - someone can be on MMD and also Fast track</t>
  </si>
  <si>
    <t>HF with EMR (645) for 2025 - MozART</t>
  </si>
  <si>
    <t>HF with EMR (645) for 2025 - MozART among newly initiating and reinitiating PLHIV on ART</t>
  </si>
  <si>
    <t>Please clarify what the data for this line.  Do you want the total of PLHIV eligible for AHD reciving the package?  Or of those in the HF with AHD, how many eligible received the AHD package?</t>
  </si>
  <si>
    <t>2025 HIV Program - this is only considering the last quarter as we offer to everyone on ART each quarter</t>
  </si>
  <si>
    <t>2025 HIV Program - the number referred to tracking/tracing that were contacted or found</t>
  </si>
  <si>
    <t>2025 HIV Program - this is the coverage of services, if we want to see the coverage of all PW (even those that don't come to ANC) then the percentage is lower</t>
  </si>
  <si>
    <t>2025 HIV Program - this is the coverage of services, if we want to see the coverage of all HEI (even those that don't come to HF) then the percentage is lower</t>
  </si>
  <si>
    <t>89% within 2 months, 99% within 18 months</t>
  </si>
  <si>
    <t>HF with EMR (645) for 2025 - MozART - BFW status is calculated from pregnancy notification</t>
  </si>
  <si>
    <t>Hiv negative 3 meses</t>
  </si>
  <si>
    <t>2025 HIV Program - this includes everything except for community based testing and ATHIV (so index and KP is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</si>
</sst>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2"/>
      <color theme="1"/>
      <name val="Aptos Narrow"/>
      <family val="2"/>
      <scheme val="minor"/>
    </font>
    <font>
      <sz val="12"/>
      <color theme="1"/>
      <name val="Aptos Narrow"/>
      <family val="2"/>
      <scheme val="minor"/>
    </font>
    <font>
      <sz val="12"/>
      <color rgb="FFFF0000"/>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0" borderId="9" xfId="0" applyBorder="1"/>
    <xf numFmtId="3" fontId="0" fillId="0" borderId="9" xfId="0" applyNumberFormat="1" applyBorder="1"/>
    <xf numFmtId="9" fontId="0" fillId="0" borderId="9" xfId="0" applyNumberFormat="1" applyBorder="1"/>
    <xf numFmtId="3" fontId="0" fillId="0" borderId="0" xfId="0" applyNumberFormat="1"/>
    <xf numFmtId="9" fontId="0" fillId="0" borderId="0" xfId="0" applyNumberFormat="1"/>
    <xf numFmtId="0" fontId="0" fillId="0" borderId="0" xfId="0" applyAlignment="1">
      <alignment wrapText="1"/>
    </xf>
    <xf numFmtId="164" fontId="0" fillId="0" borderId="9" xfId="1" applyNumberFormat="1" applyFont="1" applyBorder="1"/>
    <xf numFmtId="10" fontId="0" fillId="0" borderId="9" xfId="0" applyNumberFormat="1" applyBorder="1"/>
    <xf numFmtId="9" fontId="0" fillId="0" borderId="9" xfId="2" applyFont="1" applyBorder="1"/>
    <xf numFmtId="0" fontId="2" fillId="3" borderId="9" xfId="0" applyFont="1" applyFill="1" applyBorder="1"/>
    <xf numFmtId="0" fontId="0" fillId="2" borderId="1" xfId="0" applyFill="1" applyBorder="1" applyAlignment="1">
      <alignment horizontal="center" wrapText="1"/>
    </xf>
    <xf numFmtId="0" fontId="0" fillId="2" borderId="2" xfId="0" applyFill="1" applyBorder="1" applyAlignment="1">
      <alignment horizontal="center" wrapText="1"/>
    </xf>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0" xfId="0" applyFill="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wrapText="1"/>
    </xf>
    <xf numFmtId="0" fontId="0" fillId="2" borderId="7" xfId="0" applyFill="1" applyBorder="1" applyAlignment="1">
      <alignment horizontal="center" wrapText="1"/>
    </xf>
    <xf numFmtId="0" fontId="0" fillId="2" borderId="8" xfId="0" applyFill="1" applyBorder="1" applyAlignment="1">
      <alignment horizontal="center" wrapText="1"/>
    </xf>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F0563-D6D0-C349-AAA5-E02739123A65}">
  <dimension ref="A1:J39"/>
  <sheetViews>
    <sheetView tabSelected="1" topLeftCell="A6" zoomScale="120" zoomScaleNormal="120" workbookViewId="0">
      <selection activeCell="A11" sqref="A11"/>
    </sheetView>
  </sheetViews>
  <sheetFormatPr baseColWidth="10" defaultColWidth="10.6640625" defaultRowHeight="16" x14ac:dyDescent="0.2"/>
  <cols>
    <col min="1" max="1" width="69.83203125" customWidth="1"/>
    <col min="2" max="2" width="16.5" bestFit="1" customWidth="1"/>
    <col min="3" max="4" width="22.83203125" customWidth="1"/>
  </cols>
  <sheetData>
    <row r="1" spans="1:10" ht="51" x14ac:dyDescent="0.2">
      <c r="A1" t="s">
        <v>27</v>
      </c>
      <c r="B1" s="6" t="s">
        <v>32</v>
      </c>
      <c r="C1" s="6" t="s">
        <v>33</v>
      </c>
      <c r="D1" s="6" t="s">
        <v>34</v>
      </c>
    </row>
    <row r="2" spans="1:10" ht="18" customHeight="1" x14ac:dyDescent="0.2">
      <c r="A2" s="1" t="s">
        <v>31</v>
      </c>
      <c r="B2" s="1"/>
      <c r="C2" s="2"/>
      <c r="D2" s="1"/>
    </row>
    <row r="3" spans="1:10" x14ac:dyDescent="0.2">
      <c r="A3" s="1" t="s">
        <v>0</v>
      </c>
      <c r="B3" s="2">
        <v>356100</v>
      </c>
      <c r="C3" s="2">
        <v>249541</v>
      </c>
      <c r="D3" s="1" t="s">
        <v>37</v>
      </c>
    </row>
    <row r="4" spans="1:10" x14ac:dyDescent="0.2">
      <c r="A4" s="1" t="s">
        <v>1</v>
      </c>
      <c r="B4" s="1">
        <v>0</v>
      </c>
      <c r="C4" s="2">
        <v>0</v>
      </c>
      <c r="D4" s="1"/>
    </row>
    <row r="5" spans="1:10" x14ac:dyDescent="0.2">
      <c r="A5" s="1" t="s">
        <v>2</v>
      </c>
      <c r="B5" s="2">
        <v>4700</v>
      </c>
      <c r="C5" s="2">
        <v>147928</v>
      </c>
      <c r="D5" s="1" t="s">
        <v>35</v>
      </c>
    </row>
    <row r="6" spans="1:10" x14ac:dyDescent="0.2">
      <c r="A6" s="1" t="s">
        <v>3</v>
      </c>
      <c r="B6" s="2">
        <v>168246000</v>
      </c>
      <c r="C6" s="2">
        <v>199128847</v>
      </c>
      <c r="D6" s="1" t="s">
        <v>36</v>
      </c>
    </row>
    <row r="7" spans="1:10" x14ac:dyDescent="0.2">
      <c r="A7" s="1" t="s">
        <v>4</v>
      </c>
      <c r="B7" s="2">
        <v>12200</v>
      </c>
      <c r="C7" s="2"/>
      <c r="D7" s="1" t="s">
        <v>38</v>
      </c>
    </row>
    <row r="8" spans="1:10" ht="17" thickBot="1" x14ac:dyDescent="0.25">
      <c r="A8" s="1" t="s">
        <v>5</v>
      </c>
      <c r="B8" s="3">
        <v>0.85</v>
      </c>
      <c r="C8" s="3">
        <v>0.98</v>
      </c>
      <c r="D8" s="1" t="s">
        <v>39</v>
      </c>
    </row>
    <row r="9" spans="1:10" x14ac:dyDescent="0.2">
      <c r="H9" s="11" t="s">
        <v>30</v>
      </c>
      <c r="I9" s="12"/>
      <c r="J9" s="13"/>
    </row>
    <row r="10" spans="1:10" x14ac:dyDescent="0.2">
      <c r="A10" s="1" t="s">
        <v>6</v>
      </c>
      <c r="B10" s="2">
        <v>8079000</v>
      </c>
      <c r="C10" s="2">
        <v>12090135</v>
      </c>
      <c r="D10" s="1" t="s">
        <v>56</v>
      </c>
      <c r="H10" s="14"/>
      <c r="I10" s="15"/>
      <c r="J10" s="16"/>
    </row>
    <row r="11" spans="1:10" x14ac:dyDescent="0.2">
      <c r="A11" s="1" t="s">
        <v>10</v>
      </c>
      <c r="B11" s="2"/>
      <c r="C11" s="2"/>
      <c r="D11" s="1"/>
      <c r="H11" s="14"/>
      <c r="I11" s="15"/>
      <c r="J11" s="16"/>
    </row>
    <row r="12" spans="1:10" x14ac:dyDescent="0.2">
      <c r="A12" s="1" t="s">
        <v>9</v>
      </c>
      <c r="B12" s="2">
        <v>740000</v>
      </c>
      <c r="C12" s="2">
        <v>630566</v>
      </c>
      <c r="D12" s="1" t="s">
        <v>40</v>
      </c>
      <c r="H12" s="14"/>
      <c r="I12" s="15"/>
      <c r="J12" s="16"/>
    </row>
    <row r="13" spans="1:10" x14ac:dyDescent="0.2">
      <c r="A13" s="1" t="s">
        <v>8</v>
      </c>
      <c r="B13" s="7">
        <v>1000000</v>
      </c>
      <c r="C13" s="2">
        <v>1064884</v>
      </c>
      <c r="D13" s="1" t="s">
        <v>40</v>
      </c>
      <c r="H13" s="14"/>
      <c r="I13" s="15"/>
      <c r="J13" s="16"/>
    </row>
    <row r="14" spans="1:10" ht="17" thickBot="1" x14ac:dyDescent="0.25">
      <c r="A14" s="1" t="s">
        <v>7</v>
      </c>
      <c r="B14" s="7">
        <v>68000</v>
      </c>
      <c r="C14" s="2">
        <v>222182</v>
      </c>
      <c r="D14" s="1" t="s">
        <v>42</v>
      </c>
      <c r="H14" s="17"/>
      <c r="I14" s="18"/>
      <c r="J14" s="19"/>
    </row>
    <row r="15" spans="1:10" x14ac:dyDescent="0.2">
      <c r="A15" s="1" t="s">
        <v>11</v>
      </c>
      <c r="B15" s="7">
        <v>540000</v>
      </c>
      <c r="C15" s="2">
        <v>0</v>
      </c>
      <c r="D15" s="1" t="s">
        <v>41</v>
      </c>
      <c r="F15" s="4"/>
    </row>
    <row r="16" spans="1:10" x14ac:dyDescent="0.2">
      <c r="A16" s="1" t="s">
        <v>12</v>
      </c>
      <c r="B16" s="2">
        <v>360000</v>
      </c>
      <c r="C16" s="2">
        <v>1322885</v>
      </c>
      <c r="D16" s="1" t="s">
        <v>40</v>
      </c>
    </row>
    <row r="17" spans="1:4" x14ac:dyDescent="0.2">
      <c r="B17" s="4"/>
    </row>
    <row r="18" spans="1:4" ht="18" customHeight="1" x14ac:dyDescent="0.2">
      <c r="A18" s="1" t="s">
        <v>22</v>
      </c>
      <c r="B18" s="1"/>
      <c r="C18" s="1"/>
      <c r="D18" s="1"/>
    </row>
    <row r="19" spans="1:4" x14ac:dyDescent="0.2">
      <c r="A19" s="1" t="s">
        <v>20</v>
      </c>
      <c r="B19" s="3">
        <v>0.3</v>
      </c>
      <c r="C19" s="3">
        <v>0.37</v>
      </c>
      <c r="D19" s="1" t="s">
        <v>43</v>
      </c>
    </row>
    <row r="20" spans="1:4" x14ac:dyDescent="0.2">
      <c r="A20" s="1" t="s">
        <v>19</v>
      </c>
      <c r="B20" s="3">
        <v>0.6</v>
      </c>
      <c r="C20" s="3">
        <v>0.4</v>
      </c>
      <c r="D20" s="1" t="s">
        <v>43</v>
      </c>
    </row>
    <row r="21" spans="1:4" x14ac:dyDescent="0.2">
      <c r="A21" s="1" t="s">
        <v>18</v>
      </c>
      <c r="B21" s="3">
        <v>0</v>
      </c>
      <c r="C21" s="8">
        <v>1E-3</v>
      </c>
      <c r="D21" s="1" t="s">
        <v>43</v>
      </c>
    </row>
    <row r="22" spans="1:4" x14ac:dyDescent="0.2">
      <c r="A22" s="1" t="s">
        <v>17</v>
      </c>
      <c r="B22" s="3">
        <v>0.05</v>
      </c>
      <c r="C22" s="3">
        <v>0.49</v>
      </c>
      <c r="D22" s="1" t="s">
        <v>45</v>
      </c>
    </row>
    <row r="23" spans="1:4" x14ac:dyDescent="0.2">
      <c r="A23" s="1" t="s">
        <v>21</v>
      </c>
      <c r="B23" s="3">
        <v>0.05</v>
      </c>
      <c r="C23" s="9">
        <f>(0.4+0.1+0.1+1.1)/100</f>
        <v>1.7000000000000001E-2</v>
      </c>
      <c r="D23" s="1" t="s">
        <v>44</v>
      </c>
    </row>
    <row r="24" spans="1:4" x14ac:dyDescent="0.2">
      <c r="B24" s="5"/>
    </row>
    <row r="25" spans="1:4" ht="17" customHeight="1" x14ac:dyDescent="0.2">
      <c r="A25" s="1" t="s">
        <v>16</v>
      </c>
      <c r="B25" s="3">
        <v>0.5</v>
      </c>
      <c r="C25" s="3">
        <v>0.67</v>
      </c>
      <c r="D25" s="1" t="s">
        <v>46</v>
      </c>
    </row>
    <row r="26" spans="1:4" ht="17" customHeight="1" x14ac:dyDescent="0.2">
      <c r="A26" s="1" t="s">
        <v>25</v>
      </c>
      <c r="B26" s="3">
        <v>0.25</v>
      </c>
      <c r="C26" s="3">
        <v>0.24</v>
      </c>
      <c r="D26" s="1" t="s">
        <v>47</v>
      </c>
    </row>
    <row r="27" spans="1:4" ht="17" customHeight="1" x14ac:dyDescent="0.2">
      <c r="A27" s="1" t="s">
        <v>26</v>
      </c>
      <c r="B27" s="3">
        <v>0.8</v>
      </c>
      <c r="C27" s="1"/>
      <c r="D27" s="10" t="s">
        <v>48</v>
      </c>
    </row>
    <row r="28" spans="1:4" ht="17" customHeight="1" x14ac:dyDescent="0.2"/>
    <row r="29" spans="1:4" x14ac:dyDescent="0.2">
      <c r="A29" s="1" t="s">
        <v>28</v>
      </c>
      <c r="B29" s="3">
        <v>0.55000000000000004</v>
      </c>
      <c r="C29" s="3">
        <v>0.68</v>
      </c>
      <c r="D29" s="1" t="s">
        <v>49</v>
      </c>
    </row>
    <row r="30" spans="1:4" x14ac:dyDescent="0.2">
      <c r="A30" s="1" t="s">
        <v>29</v>
      </c>
      <c r="B30" s="3">
        <v>0.4</v>
      </c>
      <c r="C30" s="3">
        <v>0.85</v>
      </c>
      <c r="D30" s="1" t="s">
        <v>50</v>
      </c>
    </row>
    <row r="31" spans="1:4" x14ac:dyDescent="0.2">
      <c r="B31" s="4"/>
    </row>
    <row r="32" spans="1:4" x14ac:dyDescent="0.2">
      <c r="A32" s="1" t="s">
        <v>13</v>
      </c>
      <c r="B32" s="3">
        <v>0.68</v>
      </c>
      <c r="C32" s="1" t="s">
        <v>53</v>
      </c>
      <c r="D32" s="1" t="s">
        <v>52</v>
      </c>
    </row>
    <row r="33" spans="1:4" x14ac:dyDescent="0.2">
      <c r="A33" s="1" t="s">
        <v>14</v>
      </c>
      <c r="B33" s="3">
        <v>0.9</v>
      </c>
      <c r="C33" s="3">
        <v>0.99</v>
      </c>
      <c r="D33" s="1" t="s">
        <v>51</v>
      </c>
    </row>
    <row r="34" spans="1:4" x14ac:dyDescent="0.2">
      <c r="A34" s="1" t="s">
        <v>15</v>
      </c>
      <c r="B34" s="3">
        <v>0.9</v>
      </c>
      <c r="C34" s="1"/>
      <c r="D34" s="1" t="s">
        <v>38</v>
      </c>
    </row>
    <row r="35" spans="1:4" x14ac:dyDescent="0.2">
      <c r="A35" s="1" t="s">
        <v>23</v>
      </c>
      <c r="B35" s="3">
        <v>0.68</v>
      </c>
      <c r="C35" s="3">
        <v>0.77</v>
      </c>
      <c r="D35" s="1" t="s">
        <v>46</v>
      </c>
    </row>
    <row r="36" spans="1:4" x14ac:dyDescent="0.2">
      <c r="A36" s="1" t="s">
        <v>24</v>
      </c>
      <c r="B36" s="3">
        <v>0</v>
      </c>
      <c r="C36" s="3">
        <v>0.8</v>
      </c>
      <c r="D36" s="1" t="s">
        <v>54</v>
      </c>
    </row>
    <row r="37" spans="1:4" x14ac:dyDescent="0.2">
      <c r="B37" s="5"/>
    </row>
    <row r="39" spans="1:4" x14ac:dyDescent="0.2">
      <c r="C39">
        <v>1280837</v>
      </c>
      <c r="D39" t="s">
        <v>55</v>
      </c>
    </row>
  </sheetData>
  <mergeCells count="1">
    <mergeCell ref="H9:J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Brooke Nichols</dc:creator>
  <cp:lastModifiedBy>Alex de Nooy</cp:lastModifiedBy>
  <dcterms:created xsi:type="dcterms:W3CDTF">2026-04-23T12:51:19Z</dcterms:created>
  <dcterms:modified xsi:type="dcterms:W3CDTF">2026-05-27T12:32:14Z</dcterms:modified>
</cp:coreProperties>
</file>