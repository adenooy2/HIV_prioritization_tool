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p_agyw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<sst xmlns="http://schemas.openxmlformats.org/spreadsheetml/2006/main" count="39" uniqueCount="24">
  <si>
    <t xml:space="preserve">country</t>
  </si>
  <si>
    <t xml:space="preserve">female_15_24</t>
  </si>
  <si>
    <t xml:space="preserve">female_15plus</t>
  </si>
  <si>
    <t xml:space="preserve">prop_agyw</t>
  </si>
  <si>
    <t xml:space="preserve">source</t>
  </si>
  <si>
    <t xml:space="preserve">Botswana</t>
  </si>
  <si>
    <t xml:space="preserve">UN WPP 2024 (median variant), Population by age and sex - broad age groups, Female. prop_agyw = female 15-24 / female 15+.</t>
  </si>
  <si>
    <t xml:space="preserve">Côte d'Ivoire</t>
  </si>
  <si>
    <t xml:space="preserve">Eswatini</t>
  </si>
  <si>
    <t xml:space="preserve">Ghana</t>
  </si>
  <si>
    <t xml:space="preserve">Kenya</t>
  </si>
  <si>
    <t xml:space="preserve">Lesotho</t>
  </si>
  <si>
    <t xml:space="preserve">Malawi</t>
  </si>
  <si>
    <t xml:space="preserve">Mozambique</t>
  </si>
  <si>
    <t xml:space="preserve">Nigeria</t>
  </si>
  <si>
    <t xml:space="preserve">South Africa</t>
  </si>
  <si>
    <t xml:space="preserve">Uganda</t>
  </si>
  <si>
    <t xml:space="preserve">United Republic of Tanzania</t>
  </si>
  <si>
    <t xml:space="preserve">Zambia</t>
  </si>
  <si>
    <t xml:space="preserve">Zimbabwe</t>
  </si>
  <si>
    <t xml:space="preserve">Congo</t>
  </si>
  <si>
    <t xml:space="preserve">South Sudan</t>
  </si>
  <si>
    <t xml:space="preserve">NOTE:</t>
  </si>
  <si>
    <t xml:space="preserve">Denominator is female 15+ (matches model's general-female stratum, which has no upper age cut). NOT 15-49.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</si>
</sst>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16"/>
    <col collapsed="false" customWidth="true" hidden="false" outlineLevel="0" max="4" min="4" style="1" width="12"/>
    <col collapsed="false" customWidth="true" hidden="false" outlineLevel="0" max="5" min="5" style="1" width="7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true" outlineLevel="0" collapsed="false">
      <c r="A2" s="3" t="s">
        <v>5</v>
      </c>
      <c r="B2" s="4" t="n">
        <v>245121.5</v>
      </c>
      <c r="C2" s="4" t="n">
        <v>862533.5</v>
      </c>
      <c r="D2" s="5" t="n">
        <f aca="false">B2/C2</f>
        <v>0.284187802560712</v>
      </c>
      <c r="E2" s="6" t="s">
        <v>6</v>
      </c>
    </row>
    <row r="3" customFormat="false" ht="15" hidden="false" customHeight="true" outlineLevel="0" collapsed="false">
      <c r="A3" s="3" t="s">
        <v>7</v>
      </c>
      <c r="B3" s="4" t="n">
        <v>2984939.5</v>
      </c>
      <c r="C3" s="4" t="n">
        <v>9232212.5</v>
      </c>
      <c r="D3" s="5" t="n">
        <f aca="false">B3/C3</f>
        <v>0.32331789373349</v>
      </c>
      <c r="E3" s="6" t="s">
        <v>6</v>
      </c>
    </row>
    <row r="4" customFormat="false" ht="15" hidden="false" customHeight="true" outlineLevel="0" collapsed="false">
      <c r="A4" s="3" t="s">
        <v>8</v>
      </c>
      <c r="B4" s="4" t="n">
        <v>123815</v>
      </c>
      <c r="C4" s="4" t="n">
        <v>426554</v>
      </c>
      <c r="D4" s="5" t="n">
        <f aca="false">B4/C4</f>
        <v>0.290268055158315</v>
      </c>
      <c r="E4" s="6" t="s">
        <v>6</v>
      </c>
    </row>
    <row r="5" customFormat="false" ht="15" hidden="false" customHeight="true" outlineLevel="0" collapsed="false">
      <c r="A5" s="3" t="s">
        <v>9</v>
      </c>
      <c r="B5" s="4" t="n">
        <v>3286010.5</v>
      </c>
      <c r="C5" s="4" t="n">
        <v>11143847</v>
      </c>
      <c r="D5" s="5" t="n">
        <f aca="false">B5/C5</f>
        <v>0.294872183726141</v>
      </c>
      <c r="E5" s="6" t="s">
        <v>6</v>
      </c>
    </row>
    <row r="6" customFormat="false" ht="15" hidden="false" customHeight="true" outlineLevel="0" collapsed="false">
      <c r="A6" s="3" t="s">
        <v>10</v>
      </c>
      <c r="B6" s="4" t="n">
        <v>6073857.5</v>
      </c>
      <c r="C6" s="4" t="n">
        <v>18054669.5</v>
      </c>
      <c r="D6" s="5" t="n">
        <f aca="false">B6/C6</f>
        <v>0.336414770705163</v>
      </c>
      <c r="E6" s="6" t="s">
        <v>6</v>
      </c>
    </row>
    <row r="7" customFormat="false" ht="15" hidden="false" customHeight="true" outlineLevel="0" collapsed="false">
      <c r="A7" s="3" t="s">
        <v>11</v>
      </c>
      <c r="B7" s="4" t="n">
        <v>231235</v>
      </c>
      <c r="C7" s="4" t="n">
        <v>797441</v>
      </c>
      <c r="D7" s="5" t="n">
        <f aca="false">B7/C7</f>
        <v>0.289971295682063</v>
      </c>
      <c r="E7" s="6" t="s">
        <v>6</v>
      </c>
    </row>
    <row r="8" customFormat="false" ht="15" hidden="false" customHeight="true" outlineLevel="0" collapsed="false">
      <c r="A8" s="3" t="s">
        <v>12</v>
      </c>
      <c r="B8" s="4" t="n">
        <v>2367035.5</v>
      </c>
      <c r="C8" s="4" t="n">
        <v>6681184</v>
      </c>
      <c r="D8" s="5" t="n">
        <f aca="false">B8/C8</f>
        <v>0.354283836517599</v>
      </c>
      <c r="E8" s="6" t="s">
        <v>6</v>
      </c>
    </row>
    <row r="9" customFormat="false" ht="15" hidden="false" customHeight="true" outlineLevel="0" collapsed="false">
      <c r="A9" s="3" t="s">
        <v>13</v>
      </c>
      <c r="B9" s="4" t="n">
        <v>3510063.5</v>
      </c>
      <c r="C9" s="4" t="n">
        <v>10160446.5</v>
      </c>
      <c r="D9" s="5" t="n">
        <f aca="false">B9/C9</f>
        <v>0.345463508911739</v>
      </c>
      <c r="E9" s="6" t="s">
        <v>6</v>
      </c>
    </row>
    <row r="10" customFormat="false" ht="15" hidden="false" customHeight="true" outlineLevel="0" collapsed="false">
      <c r="A10" s="3" t="s">
        <v>14</v>
      </c>
      <c r="B10" s="4" t="n">
        <v>23518095</v>
      </c>
      <c r="C10" s="4" t="n">
        <v>67977641</v>
      </c>
      <c r="D10" s="5" t="n">
        <f aca="false">B10/C10</f>
        <v>0.345968095597786</v>
      </c>
      <c r="E10" s="6" t="s">
        <v>6</v>
      </c>
    </row>
    <row r="11" customFormat="false" ht="15" hidden="false" customHeight="true" outlineLevel="0" collapsed="false">
      <c r="A11" s="3" t="s">
        <v>15</v>
      </c>
      <c r="B11" s="4" t="n">
        <v>5180317</v>
      </c>
      <c r="C11" s="4" t="n">
        <v>24610094.5</v>
      </c>
      <c r="D11" s="5" t="n">
        <f aca="false">B11/C11</f>
        <v>0.21049561593516</v>
      </c>
      <c r="E11" s="6" t="s">
        <v>6</v>
      </c>
    </row>
    <row r="12" customFormat="false" ht="15" hidden="false" customHeight="true" outlineLevel="0" collapsed="false">
      <c r="A12" s="3" t="s">
        <v>16</v>
      </c>
      <c r="B12" s="4" t="n">
        <v>5428375</v>
      </c>
      <c r="C12" s="4" t="n">
        <v>14408341</v>
      </c>
      <c r="D12" s="5" t="n">
        <f aca="false">B12/C12</f>
        <v>0.376752257598567</v>
      </c>
      <c r="E12" s="6" t="s">
        <v>6</v>
      </c>
    </row>
    <row r="13" customFormat="false" ht="15" hidden="false" customHeight="true" outlineLevel="0" collapsed="false">
      <c r="A13" s="3" t="s">
        <v>17</v>
      </c>
      <c r="B13" s="4" t="n">
        <v>6905243</v>
      </c>
      <c r="C13" s="4" t="n">
        <v>20140899.5</v>
      </c>
      <c r="D13" s="5" t="n">
        <f aca="false">B13/C13</f>
        <v>0.342846802845126</v>
      </c>
      <c r="E13" s="6" t="s">
        <v>6</v>
      </c>
    </row>
    <row r="14" customFormat="false" ht="15" hidden="false" customHeight="true" outlineLevel="0" collapsed="false">
      <c r="A14" s="3" t="s">
        <v>18</v>
      </c>
      <c r="B14" s="4" t="n">
        <v>2216560</v>
      </c>
      <c r="C14" s="4" t="n">
        <v>6345421</v>
      </c>
      <c r="D14" s="5" t="n">
        <f aca="false">B14/C14</f>
        <v>0.349316459853491</v>
      </c>
      <c r="E14" s="6" t="s">
        <v>6</v>
      </c>
    </row>
    <row r="15" customFormat="false" ht="15" hidden="false" customHeight="true" outlineLevel="0" collapsed="false">
      <c r="A15" s="3" t="s">
        <v>19</v>
      </c>
      <c r="B15" s="4" t="n">
        <v>1761575</v>
      </c>
      <c r="C15" s="4" t="n">
        <v>5328614.5</v>
      </c>
      <c r="D15" s="5" t="n">
        <f aca="false">B15/C15</f>
        <v>0.330587810396117</v>
      </c>
      <c r="E15" s="6" t="s">
        <v>6</v>
      </c>
    </row>
    <row r="17" customFormat="false" ht="15" hidden="false" customHeight="true" outlineLevel="0" collapsed="false">
      <c r="A17" s="7" t="s">
        <v>20</v>
      </c>
      <c r="B17" s="8" t="n">
        <v>603998.5</v>
      </c>
      <c r="C17" s="8" t="n">
        <v>1897627</v>
      </c>
      <c r="D17" s="9" t="n">
        <f aca="false">B17/C17</f>
        <v>0.3182914766706</v>
      </c>
      <c r="E17" s="10" t="s">
        <v>6</v>
      </c>
    </row>
    <row r="18" customFormat="false" ht="15" hidden="false" customHeight="false" outlineLevel="0" collapsed="false">
      <c r="A18" s="7" t="s">
        <v>21</v>
      </c>
      <c r="B18" s="8" t="n">
        <v>1357177.5</v>
      </c>
      <c r="C18" s="8" t="n">
        <v>3770981.5</v>
      </c>
      <c r="D18" s="9" t="n">
        <f aca="false">B18/C18</f>
        <v>0.359900333639929</v>
      </c>
      <c r="E18" s="10" t="s">
        <v>6</v>
      </c>
    </row>
    <row r="19" customFormat="false" ht="15" hidden="false" customHeight="false" outlineLevel="0" collapsed="false">
      <c r="A19" s="11" t="s">
        <v>22</v>
      </c>
      <c r="B19" s="1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2026-07-08T08:26:50Z</dcterms:created>
  <dc:creator>openpyxl</dc:creator>
  <dc:description/>
  <dc:language>en-US</dc:language>
  <cp:lastModifiedBy/>
  <dcterms:modified xsi:type="dcterms:W3CDTF">2026-07-08T09:03:55Z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