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531" documentId="8_{3983ECF5-E0D1-344B-BC04-D4E6CF5CD4B5}" xr6:coauthVersionLast="47" xr6:coauthVersionMax="47" xr10:uidLastSave="{4D14EEC3-3143-8A41-A247-992F22562BDD}"/>
  <bookViews>
    <workbookView xWindow="0" yWindow="500" windowWidth="28800" windowHeight="16020" activeTab="2" xr2:uid="{BFD43C4F-988C-0F4F-AE69-989101776492}"/>
  </bookViews>
  <sheets>
    <sheet name="param_list_and_type" sheetId="2" r:id="rId1"/>
    <sheet name="tier_plus_updated" sheetId="6" r:id="rId2"/>
    <sheet name="tier_plus_30Jan" sheetId="7" r:id="rId3"/>
    <sheet name="baseline_data" sheetId="4" r:id="rId4"/>
    <sheet name="params_effect" sheetId="1" r:id="rId5"/>
    <sheet name="other_key_values" sheetId="5" r:id="rId6"/>
    <sheet name="params_cost" sheetId="3" r:id="rId7"/>
  </sheets>
  <definedNames>
    <definedName name="_xlnm._FilterDatabase" localSheetId="4" hidden="1">params_effect!$A$1:$L$205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5" l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<sst xmlns="http://schemas.openxmlformats.org/spreadsheetml/2006/main" count="1838" uniqueCount="204">
  <si>
    <t>area</t>
  </si>
  <si>
    <t>component</t>
  </si>
  <si>
    <t>id</t>
  </si>
  <si>
    <t>label</t>
  </si>
  <si>
    <t>type</t>
  </si>
  <si>
    <t>adult_inf</t>
  </si>
  <si>
    <t>infant_inf</t>
  </si>
  <si>
    <t>first_90</t>
  </si>
  <si>
    <t>sec_90</t>
  </si>
  <si>
    <t>third_90</t>
  </si>
  <si>
    <t>deaths</t>
  </si>
  <si>
    <t>TREATMENT</t>
  </si>
  <si>
    <t>art_cont</t>
  </si>
  <si>
    <t>art_provision</t>
  </si>
  <si>
    <t>ART provision for all</t>
  </si>
  <si>
    <t>coverage</t>
  </si>
  <si>
    <t>X</t>
  </si>
  <si>
    <t>mmd</t>
  </si>
  <si>
    <t>MMD (multi-month dispensing)</t>
  </si>
  <si>
    <t>dsd</t>
  </si>
  <si>
    <t>DSD (differentiated service delivery)</t>
  </si>
  <si>
    <t>oi_prophylaxis</t>
  </si>
  <si>
    <t>cotrim</t>
  </si>
  <si>
    <t>Cotrimoxazole prophylaxis</t>
  </si>
  <si>
    <t>art_init</t>
  </si>
  <si>
    <t>ART initiation (and re-initiation)</t>
  </si>
  <si>
    <t>absolute</t>
  </si>
  <si>
    <t>vl_monitoring</t>
  </si>
  <si>
    <t>vl_targeted</t>
  </si>
  <si>
    <t>VL monitoring: suspected failure</t>
  </si>
  <si>
    <t>vl_routine</t>
  </si>
  <si>
    <t>Routine VL monitoring</t>
  </si>
  <si>
    <t>oi_managment</t>
  </si>
  <si>
    <t>oi_tb_test</t>
  </si>
  <si>
    <t>OI: TB testing for symptomatic</t>
  </si>
  <si>
    <t>oi_tb_tpt</t>
  </si>
  <si>
    <t>OI: TB preventive therapy (TPT)</t>
  </si>
  <si>
    <t>oi_tb_tx</t>
  </si>
  <si>
    <t>OI: TB treatment</t>
  </si>
  <si>
    <t>oi_crypto_tx</t>
  </si>
  <si>
    <t>OI: Cryptococcal treatment</t>
  </si>
  <si>
    <t>ahd</t>
  </si>
  <si>
    <t>ahd_lam</t>
  </si>
  <si>
    <t>AHD: LAM for Stage 3/4 / seriously ill</t>
  </si>
  <si>
    <t>ahd_crag</t>
  </si>
  <si>
    <t>AHD: CRAG for Stage 3/4 / IPD</t>
  </si>
  <si>
    <t>ahd_cd4</t>
  </si>
  <si>
    <t>AHD: CD4 testing</t>
  </si>
  <si>
    <t>ahd_flucon</t>
  </si>
  <si>
    <t>AHD: Pre-emptive fluconazole</t>
  </si>
  <si>
    <t>tracking</t>
  </si>
  <si>
    <t>tracking_total</t>
  </si>
  <si>
    <t>Tracking &amp; tracing (total)</t>
  </si>
  <si>
    <t>absolute (number of calls)? Not sure</t>
  </si>
  <si>
    <t>psychoscocial</t>
  </si>
  <si>
    <t>fac_education</t>
  </si>
  <si>
    <t>Facility Patient Education</t>
  </si>
  <si>
    <t>adh_couns</t>
  </si>
  <si>
    <t>Adherence Counselling</t>
  </si>
  <si>
    <t>psychosocial</t>
  </si>
  <si>
    <t>Psychosocial support / counselling</t>
  </si>
  <si>
    <t xml:space="preserve">TESTING </t>
  </si>
  <si>
    <t>test_facility</t>
  </si>
  <si>
    <t>Testing: facility-based</t>
  </si>
  <si>
    <t>test_community</t>
  </si>
  <si>
    <t>Testing: community-based</t>
  </si>
  <si>
    <t>test_kpsti</t>
  </si>
  <si>
    <t>Testing: key populations &amp; STI services</t>
  </si>
  <si>
    <t>hivst</t>
  </si>
  <si>
    <t>hivst_fac</t>
  </si>
  <si>
    <t>HIVST (Facility-based)</t>
  </si>
  <si>
    <t>hivst_com</t>
  </si>
  <si>
    <t>HIVST (community-based)</t>
  </si>
  <si>
    <t>PREVENTION</t>
  </si>
  <si>
    <t>infant_prophylaxis</t>
  </si>
  <si>
    <t>infant_proph</t>
  </si>
  <si>
    <t>Infant prophylaxis</t>
  </si>
  <si>
    <t>pep</t>
  </si>
  <si>
    <t>PEP</t>
  </si>
  <si>
    <t>condoms</t>
  </si>
  <si>
    <t>Condom availability</t>
  </si>
  <si>
    <t>prep</t>
  </si>
  <si>
    <t>prep_oral</t>
  </si>
  <si>
    <t>PrEP (oral)</t>
  </si>
  <si>
    <t>prep_cabla</t>
  </si>
  <si>
    <t>PrEP (CAB-LA)</t>
  </si>
  <si>
    <t>prep_len</t>
  </si>
  <si>
    <t>PrEP (Lenacapavir)</t>
  </si>
  <si>
    <t>vmmc</t>
  </si>
  <si>
    <t>VMMC</t>
  </si>
  <si>
    <t>absolute?</t>
  </si>
  <si>
    <t>ANC</t>
  </si>
  <si>
    <t>anc_hiv_test</t>
  </si>
  <si>
    <t>ANC: HIV testing</t>
  </si>
  <si>
    <t>eID</t>
  </si>
  <si>
    <t>EID (early infant diagnosis)</t>
  </si>
  <si>
    <t>anc_vl_testing</t>
  </si>
  <si>
    <t>ANC: Viral Load Testing</t>
  </si>
  <si>
    <t>Type</t>
  </si>
  <si>
    <t>Variables</t>
  </si>
  <si>
    <t>Epidemic params</t>
  </si>
  <si>
    <t>PLHIV</t>
  </si>
  <si>
    <t># Diagnosed</t>
  </si>
  <si>
    <t># On ART</t>
  </si>
  <si>
    <t>#Virally Suppressed</t>
  </si>
  <si>
    <t>HIV/TB coinfection rate</t>
  </si>
  <si>
    <t>HIV/cryptococcal co-infection rate</t>
  </si>
  <si>
    <t>Proportion AHD</t>
  </si>
  <si>
    <t>Something about the number of individuals eligible for DSD?</t>
  </si>
  <si>
    <t>MMD availability (1 month/ 3 month/6 month)</t>
  </si>
  <si>
    <t>Annual outcomes</t>
  </si>
  <si>
    <t>#Adult infections</t>
  </si>
  <si>
    <t>#Infant infections</t>
  </si>
  <si>
    <t>#HIV related deaths</t>
  </si>
  <si>
    <t>Population denoms</t>
  </si>
  <si>
    <t>Adult population reached by services</t>
  </si>
  <si>
    <t>Pregnant population</t>
  </si>
  <si>
    <t>Infant population</t>
  </si>
  <si>
    <t>Population receiving prep</t>
  </si>
  <si>
    <t>Some value around those at risk of failure and in need of adherence (althohgh this could be all those not virally suppressed)</t>
  </si>
  <si>
    <t>Shouold everyone get psychosocial counselling - not everyone may need so would only impact a proprtion of the pop but I am unsure what that denominator would be</t>
  </si>
  <si>
    <t>^ maybe for this, we could do a coverage thing, where we say that some percent of people need psychosocial counselling, and then coverage goes from 0-100. (maybe we can find in literature)</t>
  </si>
  <si>
    <t>outcome</t>
  </si>
  <si>
    <t>incremental_effect</t>
  </si>
  <si>
    <t>effect_value</t>
  </si>
  <si>
    <t>source</t>
  </si>
  <si>
    <t>Things not in og app mock-up</t>
  </si>
  <si>
    <t>indicates there was no effect (based on original X's)</t>
  </si>
  <si>
    <t>unit_cost</t>
  </si>
  <si>
    <t>Something like loss to follow-up?</t>
  </si>
  <si>
    <t>Percentage indiviudals requiring psychosocial support</t>
  </si>
  <si>
    <t>hiv_mortality_on_art</t>
  </si>
  <si>
    <t>hiv_mortality_not_on_art</t>
  </si>
  <si>
    <t>notes</t>
  </si>
  <si>
    <t>I'm wondering actually if the elements that are chained may  affect fewer outcomes?</t>
  </si>
  <si>
    <t xml:space="preserve">For example we know ART impacts mortality, but first it impacts viral suppression </t>
  </si>
  <si>
    <t>and that’s theparameter that impacts mortality? Rather than both simultaneously</t>
  </si>
  <si>
    <t>HIV infection rate among pregnant women</t>
  </si>
  <si>
    <t>hiv_mortality_VS</t>
  </si>
  <si>
    <t>hiv_mortality_not_vs</t>
  </si>
  <si>
    <t>For all prevention we may need elemenst of adherence or uptake alonside effect</t>
  </si>
  <si>
    <t>e.g if 70% of those eligble for prep inititate, 80% adhere and theres a 90% effectiveness</t>
  </si>
  <si>
    <t>pop_prep</t>
  </si>
  <si>
    <t>effect_calc</t>
  </si>
  <si>
    <t>is this HIV + pregnant population?</t>
  </si>
  <si>
    <t>#hiv_exposed_chidlren*coverage*(1-adh)*transmisison_rate (dependent on mother's status?)*effect</t>
  </si>
  <si>
    <t>Uganda: : https://pmc.ncbi.nlm.nih.gov/articles/PMC7561159/. 
SA: https://link.springer.com/article/10.1186/s12879-019-4341-4#Tab2</t>
  </si>
  <si>
    <t>Uganda: 85% NVP adherence at 6weeks  
SA: 96%-74% (14 weeks to 18 months) for infants on NVP at 6 weeks</t>
  </si>
  <si>
    <t>93% reduction in transmission among those adherent on ART</t>
  </si>
  <si>
    <t xml:space="preserve"> (HPTN 052 study)</t>
  </si>
  <si>
    <t>mtct_rate_not_on_art</t>
  </si>
  <si>
    <t>15-45%</t>
  </si>
  <si>
    <t>https://www.who.int/teams/global-hiv-hepatitis-and-stis-programmes/hiv/prevention/mother-to-child-transmission-of-hiv</t>
  </si>
  <si>
    <t>&lt;5%</t>
  </si>
  <si>
    <t>https://www.unaids.org/sites/default/files/media_asset/FactSheet_Children_en.pdf</t>
  </si>
  <si>
    <t>mtct_rate_on_art</t>
  </si>
  <si>
    <t>East africa systematic review, ~63% virally suppresseas following EAC</t>
  </si>
  <si>
    <t>https://pubmed.ncbi.nlm.nih.gov/41331941/</t>
  </si>
  <si>
    <t>Additional VS = #not_suppressed*coverage*effect</t>
  </si>
  <si>
    <t>WHO Global TB profile: https://worldhealthorg.shinyapps.io/tb_profiles/?_inputs_&amp;tab=%22tables%22&amp;lan=%22EN%22&amp;iso3=%22AFG%22&amp;entity_type=%22group%22&amp;group_code=%22global%22</t>
  </si>
  <si>
    <t>TB mortality without treatment</t>
  </si>
  <si>
    <t>0.13 deaths averted per 100 PLHIV receiving TPT - 22% reduction compared with no TPT. 29 high inc countries, incoporated completion initiation, ART etc</t>
  </si>
  <si>
    <t>https://www.thelancet.com/journals/langlo/article/PIIS2214-109X%2823%2900251-6/fulltext</t>
  </si>
  <si>
    <t>Global treatment success for PLHIV with TB starting TB treatment</t>
  </si>
  <si>
    <t>4%-9% increase in retention over the SOC for 3-6 MMD</t>
  </si>
  <si>
    <t>Malawi&amp; Zambia: https://www.sciencedirect.com/science/article/pii/S2214109X21000395</t>
  </si>
  <si>
    <t>include cotrimoxazole here</t>
  </si>
  <si>
    <t>Type: if 'absolute' the user can enter the precise number of services provided (e.g. 1.1million tests, 50,000 VMMCs, etc)</t>
  </si>
  <si>
    <t>Outcome affected</t>
  </si>
  <si>
    <t>Interval</t>
  </si>
  <si>
    <t>adult infections</t>
  </si>
  <si>
    <t xml:space="preserve">infant infections </t>
  </si>
  <si>
    <t>first 95</t>
  </si>
  <si>
    <t>second 95</t>
  </si>
  <si>
    <t>third 95</t>
  </si>
  <si>
    <t>mortality</t>
  </si>
  <si>
    <t>3, 6, 12 months</t>
  </si>
  <si>
    <t>every 12 or 24 months</t>
  </si>
  <si>
    <t>Test for and treat Ois</t>
  </si>
  <si>
    <t>AHD testing package (LAM, CrAG, CD4, fluconazole)</t>
  </si>
  <si>
    <t>Adherence Counselling/ psychosocial support</t>
  </si>
  <si>
    <t>Testing: for key populations &amp; STI services</t>
  </si>
  <si>
    <t>PrEP (oral), person years</t>
  </si>
  <si>
    <t>PrEP (Lenacapavir), person years</t>
  </si>
  <si>
    <t>EID</t>
  </si>
  <si>
    <t>https://bushare-my.sharepoint.com/:x:/g/personal/brooken_bu_edu/IQCrAqcnpglYQbFHxzN39mrIAddSipC0bePCNG6CgXoCMBk?e=5xvACO</t>
  </si>
  <si>
    <t>Cotrimoxazole prophylaxis (according to guidelines)</t>
  </si>
  <si>
    <t>tb_test_treat</t>
  </si>
  <si>
    <t>TB Screening and Treatment</t>
  </si>
  <si>
    <t>tpt</t>
  </si>
  <si>
    <t>TPT provision</t>
  </si>
  <si>
    <t>AHD testing and prophylaxis package (LAM, CrAG, CD4, fluconazole)</t>
  </si>
  <si>
    <t>cags</t>
  </si>
  <si>
    <t>Community ART Groups</t>
  </si>
  <si>
    <t>Testing: facility-based (general)</t>
  </si>
  <si>
    <t>Testing: facility-based (targeted)</t>
  </si>
  <si>
    <t>Testing: Network/Index</t>
  </si>
  <si>
    <t>PNC</t>
  </si>
  <si>
    <t>pnc_hiv_test</t>
  </si>
  <si>
    <t>PNC: HIV testing</t>
  </si>
  <si>
    <t>pnc_vl_testing</t>
  </si>
  <si>
    <t>PNC: Viral Load Testing</t>
  </si>
  <si>
    <t>pnc_art_cont</t>
  </si>
  <si>
    <t>PNC: ART continuation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</si>
</sst>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5" fillId="0" borderId="0" xfId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lancet.com/journals/langlo/article/PIIS2214-109X%2823%2900251-6/full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5C7C-A667-1C4E-9C53-BEA702CE9EF6}">
  <dimension ref="A1:L206"/>
  <sheetViews>
    <sheetView zoomScale="87" workbookViewId="0">
      <selection activeCell="L29" sqref="L29"/>
    </sheetView>
  </sheetViews>
  <sheetFormatPr baseColWidth="10" defaultColWidth="11" defaultRowHeight="16" x14ac:dyDescent="0.2"/>
  <cols>
    <col min="1" max="1" width="18.33203125" style="3" bestFit="1" customWidth="1"/>
    <col min="2" max="3" width="18.33203125" style="3" customWidth="1"/>
    <col min="4" max="4" width="37" style="3" customWidth="1"/>
    <col min="5" max="5" width="30.5" bestFit="1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t="s">
        <v>16</v>
      </c>
      <c r="I2" t="s">
        <v>16</v>
      </c>
      <c r="J2" t="s">
        <v>16</v>
      </c>
      <c r="K2" t="s">
        <v>16</v>
      </c>
      <c r="L2" t="s">
        <v>166</v>
      </c>
    </row>
    <row r="3" spans="1:12" x14ac:dyDescent="0.2">
      <c r="A3" s="3" t="s">
        <v>11</v>
      </c>
      <c r="B3" s="3" t="s">
        <v>12</v>
      </c>
      <c r="C3" s="3" t="s">
        <v>17</v>
      </c>
      <c r="D3" s="3" t="s">
        <v>18</v>
      </c>
      <c r="E3" s="3" t="s">
        <v>15</v>
      </c>
      <c r="F3" t="s">
        <v>16</v>
      </c>
      <c r="I3" t="s">
        <v>16</v>
      </c>
      <c r="J3" t="s">
        <v>16</v>
      </c>
    </row>
    <row r="4" spans="1:12" x14ac:dyDescent="0.2">
      <c r="A4" s="3" t="s">
        <v>11</v>
      </c>
      <c r="B4" s="3" t="s">
        <v>12</v>
      </c>
      <c r="C4" s="3" t="s">
        <v>19</v>
      </c>
      <c r="D4" s="3" t="s">
        <v>20</v>
      </c>
      <c r="E4" s="3" t="s">
        <v>15</v>
      </c>
      <c r="F4" t="s">
        <v>16</v>
      </c>
      <c r="I4" t="s">
        <v>16</v>
      </c>
      <c r="J4" t="s">
        <v>16</v>
      </c>
    </row>
    <row r="5" spans="1:12" x14ac:dyDescent="0.2">
      <c r="A5" s="3" t="s">
        <v>11</v>
      </c>
      <c r="B5" s="3" t="s">
        <v>21</v>
      </c>
      <c r="C5" s="3" t="s">
        <v>22</v>
      </c>
      <c r="D5" s="3" t="s">
        <v>23</v>
      </c>
      <c r="E5" s="3" t="s">
        <v>15</v>
      </c>
      <c r="K5" t="s">
        <v>16</v>
      </c>
    </row>
    <row r="6" spans="1:12" x14ac:dyDescent="0.2">
      <c r="A6" s="3" t="s">
        <v>11</v>
      </c>
      <c r="B6" s="3" t="s">
        <v>24</v>
      </c>
      <c r="C6" s="3" t="s">
        <v>24</v>
      </c>
      <c r="D6" s="3" t="s">
        <v>25</v>
      </c>
      <c r="E6" s="3" t="s">
        <v>26</v>
      </c>
      <c r="F6" t="s">
        <v>16</v>
      </c>
      <c r="G6" t="s">
        <v>16</v>
      </c>
      <c r="I6" t="s">
        <v>16</v>
      </c>
      <c r="J6" t="s">
        <v>16</v>
      </c>
      <c r="K6" t="s">
        <v>16</v>
      </c>
      <c r="L6" t="s">
        <v>134</v>
      </c>
    </row>
    <row r="7" spans="1:12" x14ac:dyDescent="0.2">
      <c r="A7" s="3" t="s">
        <v>11</v>
      </c>
      <c r="B7" s="3" t="s">
        <v>27</v>
      </c>
      <c r="C7" s="3" t="s">
        <v>28</v>
      </c>
      <c r="D7" s="3" t="s">
        <v>29</v>
      </c>
      <c r="E7" s="3" t="s">
        <v>26</v>
      </c>
      <c r="J7" t="s">
        <v>16</v>
      </c>
      <c r="L7" t="s">
        <v>135</v>
      </c>
    </row>
    <row r="8" spans="1:12" x14ac:dyDescent="0.2">
      <c r="A8" s="3" t="s">
        <v>11</v>
      </c>
      <c r="B8" s="3" t="s">
        <v>27</v>
      </c>
      <c r="C8" s="3" t="s">
        <v>30</v>
      </c>
      <c r="D8" s="3" t="s">
        <v>31</v>
      </c>
      <c r="E8" s="3" t="s">
        <v>26</v>
      </c>
      <c r="J8" t="s">
        <v>16</v>
      </c>
      <c r="L8" t="s">
        <v>136</v>
      </c>
    </row>
    <row r="9" spans="1:12" x14ac:dyDescent="0.2">
      <c r="A9" s="3" t="s">
        <v>11</v>
      </c>
      <c r="B9" s="3" t="s">
        <v>32</v>
      </c>
      <c r="C9" s="3" t="s">
        <v>33</v>
      </c>
      <c r="D9" s="3" t="s">
        <v>34</v>
      </c>
      <c r="E9" s="3" t="s">
        <v>26</v>
      </c>
      <c r="K9" t="s">
        <v>16</v>
      </c>
    </row>
    <row r="10" spans="1:12" x14ac:dyDescent="0.2">
      <c r="A10" s="3" t="s">
        <v>11</v>
      </c>
      <c r="B10" s="3" t="s">
        <v>32</v>
      </c>
      <c r="C10" s="3" t="s">
        <v>35</v>
      </c>
      <c r="D10" s="3" t="s">
        <v>36</v>
      </c>
      <c r="E10" s="3" t="s">
        <v>15</v>
      </c>
      <c r="K10" t="s">
        <v>16</v>
      </c>
    </row>
    <row r="11" spans="1:12" x14ac:dyDescent="0.2">
      <c r="A11" s="1" t="s">
        <v>11</v>
      </c>
      <c r="B11" s="1" t="s">
        <v>32</v>
      </c>
      <c r="C11" s="1" t="s">
        <v>37</v>
      </c>
      <c r="D11" s="1" t="s">
        <v>38</v>
      </c>
      <c r="E11" s="1" t="s">
        <v>15</v>
      </c>
      <c r="K11" t="s">
        <v>16</v>
      </c>
    </row>
    <row r="12" spans="1:12" x14ac:dyDescent="0.2">
      <c r="A12" s="3" t="s">
        <v>11</v>
      </c>
      <c r="B12" s="3" t="s">
        <v>32</v>
      </c>
      <c r="C12" s="3" t="s">
        <v>39</v>
      </c>
      <c r="D12" s="3" t="s">
        <v>40</v>
      </c>
      <c r="E12" s="3" t="s">
        <v>15</v>
      </c>
      <c r="K12" t="s">
        <v>16</v>
      </c>
    </row>
    <row r="13" spans="1:12" x14ac:dyDescent="0.2">
      <c r="A13" s="3" t="s">
        <v>11</v>
      </c>
      <c r="B13" s="3" t="s">
        <v>41</v>
      </c>
      <c r="C13" s="3" t="s">
        <v>42</v>
      </c>
      <c r="D13" s="3" t="s">
        <v>43</v>
      </c>
      <c r="E13" s="3" t="s">
        <v>26</v>
      </c>
      <c r="K13" t="s">
        <v>16</v>
      </c>
    </row>
    <row r="14" spans="1:12" x14ac:dyDescent="0.2">
      <c r="A14" s="3" t="s">
        <v>11</v>
      </c>
      <c r="B14" s="3" t="s">
        <v>41</v>
      </c>
      <c r="C14" s="3" t="s">
        <v>44</v>
      </c>
      <c r="D14" s="3" t="s">
        <v>45</v>
      </c>
      <c r="E14" s="3" t="s">
        <v>26</v>
      </c>
      <c r="K14" t="s">
        <v>16</v>
      </c>
    </row>
    <row r="15" spans="1:12" x14ac:dyDescent="0.2">
      <c r="A15" s="3" t="s">
        <v>11</v>
      </c>
      <c r="B15" s="3" t="s">
        <v>41</v>
      </c>
      <c r="C15" s="3" t="s">
        <v>46</v>
      </c>
      <c r="D15" s="3" t="s">
        <v>47</v>
      </c>
      <c r="E15" s="3" t="s">
        <v>26</v>
      </c>
      <c r="K15" t="s">
        <v>16</v>
      </c>
    </row>
    <row r="16" spans="1:12" x14ac:dyDescent="0.2">
      <c r="A16" s="3" t="s">
        <v>11</v>
      </c>
      <c r="B16" s="3" t="s">
        <v>41</v>
      </c>
      <c r="C16" s="3" t="s">
        <v>48</v>
      </c>
      <c r="D16" s="3" t="s">
        <v>49</v>
      </c>
      <c r="E16" s="3" t="s">
        <v>26</v>
      </c>
      <c r="K16" t="s">
        <v>16</v>
      </c>
    </row>
    <row r="17" spans="1:12" x14ac:dyDescent="0.2">
      <c r="A17" s="3" t="s">
        <v>11</v>
      </c>
      <c r="B17" s="3" t="s">
        <v>50</v>
      </c>
      <c r="C17" s="3" t="s">
        <v>51</v>
      </c>
      <c r="D17" s="3" t="s">
        <v>52</v>
      </c>
      <c r="E17" s="5" t="s">
        <v>53</v>
      </c>
      <c r="I17" t="s">
        <v>16</v>
      </c>
      <c r="J17" t="s">
        <v>16</v>
      </c>
      <c r="K17" t="s">
        <v>16</v>
      </c>
    </row>
    <row r="18" spans="1:12" x14ac:dyDescent="0.2">
      <c r="A18" s="1" t="s">
        <v>11</v>
      </c>
      <c r="B18" s="1" t="s">
        <v>54</v>
      </c>
      <c r="C18" s="1" t="s">
        <v>55</v>
      </c>
      <c r="D18" s="1" t="s">
        <v>56</v>
      </c>
      <c r="E18" s="1" t="s">
        <v>15</v>
      </c>
      <c r="I18" t="s">
        <v>16</v>
      </c>
      <c r="J18" t="s">
        <v>16</v>
      </c>
      <c r="K18" t="s">
        <v>16</v>
      </c>
    </row>
    <row r="19" spans="1:12" x14ac:dyDescent="0.2">
      <c r="A19" s="1" t="s">
        <v>11</v>
      </c>
      <c r="B19" s="1" t="s">
        <v>54</v>
      </c>
      <c r="C19" s="1" t="s">
        <v>57</v>
      </c>
      <c r="D19" s="1" t="s">
        <v>58</v>
      </c>
      <c r="E19" s="1" t="s">
        <v>15</v>
      </c>
      <c r="I19" t="s">
        <v>16</v>
      </c>
      <c r="J19" t="s">
        <v>16</v>
      </c>
      <c r="K19" t="s">
        <v>16</v>
      </c>
    </row>
    <row r="20" spans="1:12" x14ac:dyDescent="0.2">
      <c r="A20" s="3" t="s">
        <v>11</v>
      </c>
      <c r="B20" s="3" t="s">
        <v>54</v>
      </c>
      <c r="C20" s="3" t="s">
        <v>59</v>
      </c>
      <c r="D20" s="3" t="s">
        <v>60</v>
      </c>
      <c r="E20" s="3" t="s">
        <v>15</v>
      </c>
      <c r="I20" t="s">
        <v>16</v>
      </c>
      <c r="J20" t="s">
        <v>16</v>
      </c>
      <c r="K20" t="s">
        <v>16</v>
      </c>
    </row>
    <row r="21" spans="1:12" x14ac:dyDescent="0.2">
      <c r="A21" s="3" t="s">
        <v>61</v>
      </c>
      <c r="B21" s="3" t="s">
        <v>62</v>
      </c>
      <c r="C21" s="3" t="s">
        <v>62</v>
      </c>
      <c r="D21" s="3" t="s">
        <v>63</v>
      </c>
      <c r="E21" s="3" t="s">
        <v>26</v>
      </c>
      <c r="H21" t="s">
        <v>16</v>
      </c>
      <c r="I21" t="s">
        <v>16</v>
      </c>
    </row>
    <row r="22" spans="1:12" x14ac:dyDescent="0.2">
      <c r="A22" s="3" t="s">
        <v>61</v>
      </c>
      <c r="B22" s="3" t="s">
        <v>64</v>
      </c>
      <c r="C22" s="3" t="s">
        <v>64</v>
      </c>
      <c r="D22" s="3" t="s">
        <v>65</v>
      </c>
      <c r="E22" s="3" t="s">
        <v>26</v>
      </c>
      <c r="H22" t="s">
        <v>16</v>
      </c>
      <c r="I22" t="s">
        <v>16</v>
      </c>
    </row>
    <row r="23" spans="1:12" x14ac:dyDescent="0.2">
      <c r="A23" s="1" t="s">
        <v>61</v>
      </c>
      <c r="B23" s="1" t="s">
        <v>66</v>
      </c>
      <c r="C23" s="1" t="s">
        <v>66</v>
      </c>
      <c r="D23" s="1" t="s">
        <v>67</v>
      </c>
      <c r="E23" s="1" t="s">
        <v>26</v>
      </c>
      <c r="H23" t="s">
        <v>16</v>
      </c>
      <c r="I23" t="s">
        <v>16</v>
      </c>
    </row>
    <row r="24" spans="1:12" x14ac:dyDescent="0.2">
      <c r="A24" s="3" t="s">
        <v>61</v>
      </c>
      <c r="B24" s="3" t="s">
        <v>68</v>
      </c>
      <c r="C24" s="3" t="s">
        <v>69</v>
      </c>
      <c r="D24" s="3" t="s">
        <v>70</v>
      </c>
      <c r="E24" s="3" t="s">
        <v>26</v>
      </c>
      <c r="H24" t="s">
        <v>16</v>
      </c>
      <c r="I24" t="s">
        <v>16</v>
      </c>
    </row>
    <row r="25" spans="1:12" x14ac:dyDescent="0.2">
      <c r="A25" s="3" t="s">
        <v>61</v>
      </c>
      <c r="B25" s="3" t="s">
        <v>68</v>
      </c>
      <c r="C25" s="3" t="s">
        <v>71</v>
      </c>
      <c r="D25" s="3" t="s">
        <v>72</v>
      </c>
      <c r="E25" s="3" t="s">
        <v>26</v>
      </c>
      <c r="H25" t="s">
        <v>16</v>
      </c>
      <c r="I25" t="s">
        <v>16</v>
      </c>
    </row>
    <row r="26" spans="1:12" x14ac:dyDescent="0.2">
      <c r="A26" s="3" t="s">
        <v>73</v>
      </c>
      <c r="B26" s="3" t="s">
        <v>74</v>
      </c>
      <c r="C26" s="3" t="s">
        <v>75</v>
      </c>
      <c r="D26" s="3" t="s">
        <v>76</v>
      </c>
      <c r="E26" s="3" t="s">
        <v>26</v>
      </c>
      <c r="G26" t="s">
        <v>16</v>
      </c>
    </row>
    <row r="27" spans="1:12" x14ac:dyDescent="0.2">
      <c r="A27" s="3" t="s">
        <v>73</v>
      </c>
      <c r="B27" s="3" t="s">
        <v>77</v>
      </c>
      <c r="C27" s="3" t="s">
        <v>77</v>
      </c>
      <c r="D27" s="3" t="s">
        <v>78</v>
      </c>
      <c r="E27" s="3" t="s">
        <v>26</v>
      </c>
      <c r="F27" s="3" t="s">
        <v>16</v>
      </c>
      <c r="L27" t="s">
        <v>140</v>
      </c>
    </row>
    <row r="28" spans="1:12" x14ac:dyDescent="0.2">
      <c r="A28" s="3" t="s">
        <v>73</v>
      </c>
      <c r="B28" s="3" t="s">
        <v>79</v>
      </c>
      <c r="C28" s="3" t="s">
        <v>79</v>
      </c>
      <c r="D28" s="3" t="s">
        <v>80</v>
      </c>
      <c r="E28" s="5" t="s">
        <v>26</v>
      </c>
      <c r="F28" t="s">
        <v>16</v>
      </c>
      <c r="L28" t="s">
        <v>141</v>
      </c>
    </row>
    <row r="29" spans="1:12" x14ac:dyDescent="0.2">
      <c r="A29" s="3" t="s">
        <v>73</v>
      </c>
      <c r="B29" s="3" t="s">
        <v>81</v>
      </c>
      <c r="C29" s="3" t="s">
        <v>82</v>
      </c>
      <c r="D29" s="3" t="s">
        <v>83</v>
      </c>
      <c r="E29" s="3" t="s">
        <v>15</v>
      </c>
      <c r="F29" t="s">
        <v>16</v>
      </c>
      <c r="L29" t="s">
        <v>142</v>
      </c>
    </row>
    <row r="30" spans="1:12" x14ac:dyDescent="0.2">
      <c r="A30" s="3" t="s">
        <v>73</v>
      </c>
      <c r="B30" s="3" t="s">
        <v>81</v>
      </c>
      <c r="C30" s="3" t="s">
        <v>84</v>
      </c>
      <c r="D30" s="3" t="s">
        <v>85</v>
      </c>
      <c r="E30" s="3" t="s">
        <v>15</v>
      </c>
      <c r="F30" t="s">
        <v>16</v>
      </c>
    </row>
    <row r="31" spans="1:12" x14ac:dyDescent="0.2">
      <c r="A31" s="3" t="s">
        <v>73</v>
      </c>
      <c r="B31" s="3" t="s">
        <v>81</v>
      </c>
      <c r="C31" s="3" t="s">
        <v>86</v>
      </c>
      <c r="D31" s="3" t="s">
        <v>87</v>
      </c>
      <c r="E31" s="3" t="s">
        <v>15</v>
      </c>
      <c r="F31" t="s">
        <v>16</v>
      </c>
    </row>
    <row r="32" spans="1:12" x14ac:dyDescent="0.2">
      <c r="A32" s="3" t="s">
        <v>73</v>
      </c>
      <c r="B32" s="3" t="s">
        <v>88</v>
      </c>
      <c r="C32" s="3" t="s">
        <v>88</v>
      </c>
      <c r="D32" s="3" t="s">
        <v>89</v>
      </c>
      <c r="E32" s="5" t="s">
        <v>90</v>
      </c>
      <c r="F32" t="s">
        <v>16</v>
      </c>
    </row>
    <row r="33" spans="1:10" x14ac:dyDescent="0.2">
      <c r="A33" s="3" t="s">
        <v>91</v>
      </c>
      <c r="B33" s="3" t="s">
        <v>92</v>
      </c>
      <c r="D33" s="3" t="s">
        <v>93</v>
      </c>
      <c r="E33" s="3" t="s">
        <v>15</v>
      </c>
      <c r="G33" t="s">
        <v>16</v>
      </c>
      <c r="H33" t="s">
        <v>16</v>
      </c>
    </row>
    <row r="34" spans="1:10" x14ac:dyDescent="0.2">
      <c r="A34" s="3" t="s">
        <v>91</v>
      </c>
      <c r="B34" s="3" t="s">
        <v>94</v>
      </c>
      <c r="D34" s="3" t="s">
        <v>95</v>
      </c>
      <c r="E34" s="3" t="s">
        <v>15</v>
      </c>
      <c r="H34" t="s">
        <v>16</v>
      </c>
      <c r="J34" t="s">
        <v>16</v>
      </c>
    </row>
    <row r="35" spans="1:10" x14ac:dyDescent="0.2">
      <c r="A35" s="3" t="s">
        <v>91</v>
      </c>
      <c r="B35" s="3" t="s">
        <v>96</v>
      </c>
      <c r="D35" s="3" t="s">
        <v>97</v>
      </c>
      <c r="E35" s="3" t="s">
        <v>15</v>
      </c>
      <c r="G35" t="s">
        <v>16</v>
      </c>
      <c r="I35" t="s">
        <v>16</v>
      </c>
    </row>
    <row r="37" spans="1:10" x14ac:dyDescent="0.2">
      <c r="A37"/>
      <c r="B37"/>
      <c r="C37"/>
      <c r="D37"/>
    </row>
    <row r="38" spans="1:10" x14ac:dyDescent="0.2">
      <c r="A38"/>
      <c r="B38"/>
      <c r="C38"/>
      <c r="D38"/>
    </row>
    <row r="39" spans="1:10" x14ac:dyDescent="0.2">
      <c r="A39"/>
      <c r="B39"/>
      <c r="C39"/>
      <c r="D39"/>
    </row>
    <row r="40" spans="1:10" x14ac:dyDescent="0.2">
      <c r="A40"/>
      <c r="B40"/>
      <c r="C40"/>
      <c r="D40"/>
    </row>
    <row r="41" spans="1:10" x14ac:dyDescent="0.2">
      <c r="A41"/>
      <c r="B41"/>
      <c r="C41"/>
      <c r="D41"/>
    </row>
    <row r="42" spans="1:10" x14ac:dyDescent="0.2">
      <c r="A42"/>
      <c r="B42"/>
      <c r="C42"/>
      <c r="D42"/>
    </row>
    <row r="43" spans="1:10" x14ac:dyDescent="0.2">
      <c r="A43"/>
      <c r="B43"/>
      <c r="C43"/>
      <c r="D43"/>
    </row>
    <row r="44" spans="1:10" x14ac:dyDescent="0.2">
      <c r="A44"/>
      <c r="B44"/>
      <c r="C44"/>
      <c r="D44"/>
    </row>
    <row r="45" spans="1:10" x14ac:dyDescent="0.2">
      <c r="A45"/>
      <c r="B45"/>
      <c r="C45"/>
      <c r="D45"/>
    </row>
    <row r="46" spans="1:10" x14ac:dyDescent="0.2">
      <c r="A46"/>
      <c r="B46"/>
      <c r="C46"/>
      <c r="D46"/>
    </row>
    <row r="47" spans="1:10" x14ac:dyDescent="0.2">
      <c r="A47"/>
      <c r="B47"/>
      <c r="C47"/>
      <c r="D47"/>
    </row>
    <row r="48" spans="1:10" x14ac:dyDescent="0.2">
      <c r="A48"/>
      <c r="B48"/>
      <c r="C48"/>
      <c r="D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9015-8D8C-CA47-BC08-BD4514D44FD5}">
  <dimension ref="A1:K29"/>
  <sheetViews>
    <sheetView workbookViewId="0">
      <selection sqref="A1:K26"/>
    </sheetView>
  </sheetViews>
  <sheetFormatPr baseColWidth="10" defaultRowHeight="16" x14ac:dyDescent="0.2"/>
  <cols>
    <col min="1" max="1" width="16" customWidth="1"/>
    <col min="2" max="2" width="18.1640625" customWidth="1"/>
    <col min="3" max="3" width="43" customWidth="1"/>
    <col min="4" max="4" width="21.33203125" customWidth="1"/>
    <col min="5" max="5" width="23.5" customWidth="1"/>
  </cols>
  <sheetData>
    <row r="1" spans="1:11" x14ac:dyDescent="0.2">
      <c r="A1" s="17"/>
      <c r="B1" s="17"/>
      <c r="C1" s="17"/>
      <c r="D1" s="17"/>
      <c r="E1" s="17" t="s">
        <v>167</v>
      </c>
      <c r="F1" s="19" t="s">
        <v>168</v>
      </c>
      <c r="G1" s="19"/>
      <c r="H1" s="19"/>
      <c r="I1" s="19"/>
      <c r="J1" s="19"/>
      <c r="K1" s="19"/>
    </row>
    <row r="2" spans="1:11" x14ac:dyDescent="0.2">
      <c r="A2" s="18" t="s">
        <v>0</v>
      </c>
      <c r="B2" s="18" t="s">
        <v>1</v>
      </c>
      <c r="C2" s="18" t="s">
        <v>3</v>
      </c>
      <c r="D2" s="18" t="s">
        <v>169</v>
      </c>
      <c r="E2" s="18" t="s">
        <v>4</v>
      </c>
      <c r="F2" s="18" t="s">
        <v>170</v>
      </c>
      <c r="G2" s="18" t="s">
        <v>171</v>
      </c>
      <c r="H2" s="18" t="s">
        <v>172</v>
      </c>
      <c r="I2" s="18" t="s">
        <v>173</v>
      </c>
      <c r="J2" s="18" t="s">
        <v>174</v>
      </c>
      <c r="K2" s="18" t="s">
        <v>175</v>
      </c>
    </row>
    <row r="3" spans="1:11" x14ac:dyDescent="0.2">
      <c r="A3" s="4" t="s">
        <v>11</v>
      </c>
      <c r="B3" s="4" t="s">
        <v>12</v>
      </c>
      <c r="C3" s="4" t="s">
        <v>14</v>
      </c>
      <c r="D3" s="4"/>
      <c r="E3" s="4" t="s">
        <v>15</v>
      </c>
      <c r="F3" s="17" t="s">
        <v>16</v>
      </c>
      <c r="G3" s="17"/>
      <c r="H3" s="17"/>
      <c r="I3" s="17" t="s">
        <v>16</v>
      </c>
      <c r="J3" s="17" t="s">
        <v>16</v>
      </c>
      <c r="K3" s="17" t="s">
        <v>16</v>
      </c>
    </row>
    <row r="4" spans="1:11" x14ac:dyDescent="0.2">
      <c r="A4" s="4" t="s">
        <v>11</v>
      </c>
      <c r="B4" s="4" t="s">
        <v>12</v>
      </c>
      <c r="C4" s="4" t="s">
        <v>18</v>
      </c>
      <c r="D4" s="4" t="s">
        <v>176</v>
      </c>
      <c r="E4" s="4" t="s">
        <v>15</v>
      </c>
      <c r="F4" s="17" t="s">
        <v>16</v>
      </c>
      <c r="G4" s="17"/>
      <c r="H4" s="17"/>
      <c r="I4" s="17" t="s">
        <v>16</v>
      </c>
      <c r="J4" s="17" t="s">
        <v>16</v>
      </c>
      <c r="K4" s="17"/>
    </row>
    <row r="5" spans="1:11" x14ac:dyDescent="0.2">
      <c r="A5" s="4" t="s">
        <v>11</v>
      </c>
      <c r="B5" s="4" t="s">
        <v>21</v>
      </c>
      <c r="C5" s="4" t="s">
        <v>23</v>
      </c>
      <c r="D5" s="4"/>
      <c r="E5" s="4" t="s">
        <v>15</v>
      </c>
      <c r="F5" s="17"/>
      <c r="G5" s="17"/>
      <c r="H5" s="17"/>
      <c r="I5" s="17"/>
      <c r="J5" s="17"/>
      <c r="K5" s="17" t="s">
        <v>16</v>
      </c>
    </row>
    <row r="6" spans="1:11" x14ac:dyDescent="0.2">
      <c r="A6" s="4" t="s">
        <v>11</v>
      </c>
      <c r="B6" s="4" t="s">
        <v>24</v>
      </c>
      <c r="C6" s="4" t="s">
        <v>25</v>
      </c>
      <c r="D6" s="4"/>
      <c r="E6" s="4" t="s">
        <v>26</v>
      </c>
      <c r="F6" s="17" t="s">
        <v>16</v>
      </c>
      <c r="G6" s="17" t="s">
        <v>16</v>
      </c>
      <c r="H6" s="17"/>
      <c r="I6" s="17" t="s">
        <v>16</v>
      </c>
      <c r="J6" s="17" t="s">
        <v>16</v>
      </c>
      <c r="K6" s="17" t="s">
        <v>16</v>
      </c>
    </row>
    <row r="7" spans="1:11" x14ac:dyDescent="0.2">
      <c r="A7" s="4" t="s">
        <v>11</v>
      </c>
      <c r="B7" s="4" t="s">
        <v>27</v>
      </c>
      <c r="C7" s="4" t="s">
        <v>29</v>
      </c>
      <c r="D7" s="4"/>
      <c r="E7" s="4" t="s">
        <v>26</v>
      </c>
      <c r="F7" s="17"/>
      <c r="G7" s="17"/>
      <c r="H7" s="17"/>
      <c r="I7" s="17"/>
      <c r="J7" s="17" t="s">
        <v>16</v>
      </c>
      <c r="K7" s="17"/>
    </row>
    <row r="8" spans="1:11" x14ac:dyDescent="0.2">
      <c r="A8" s="4" t="s">
        <v>11</v>
      </c>
      <c r="B8" s="4" t="s">
        <v>27</v>
      </c>
      <c r="C8" s="4" t="s">
        <v>31</v>
      </c>
      <c r="D8" s="4" t="s">
        <v>177</v>
      </c>
      <c r="E8" s="4" t="s">
        <v>15</v>
      </c>
      <c r="F8" s="17"/>
      <c r="G8" s="17"/>
      <c r="H8" s="17"/>
      <c r="I8" s="17"/>
      <c r="J8" s="17" t="s">
        <v>16</v>
      </c>
      <c r="K8" s="17"/>
    </row>
    <row r="9" spans="1:11" x14ac:dyDescent="0.2">
      <c r="A9" s="4" t="s">
        <v>11</v>
      </c>
      <c r="B9" s="4" t="s">
        <v>32</v>
      </c>
      <c r="C9" s="4" t="s">
        <v>178</v>
      </c>
      <c r="D9" s="4"/>
      <c r="E9" s="4" t="s">
        <v>15</v>
      </c>
      <c r="F9" s="17"/>
      <c r="G9" s="17"/>
      <c r="H9" s="17"/>
      <c r="I9" s="17"/>
      <c r="J9" s="17"/>
      <c r="K9" s="17" t="s">
        <v>16</v>
      </c>
    </row>
    <row r="10" spans="1:11" x14ac:dyDescent="0.2">
      <c r="A10" s="4" t="s">
        <v>11</v>
      </c>
      <c r="B10" s="4" t="s">
        <v>41</v>
      </c>
      <c r="C10" s="4" t="s">
        <v>179</v>
      </c>
      <c r="D10" s="4"/>
      <c r="E10" s="4" t="s">
        <v>26</v>
      </c>
      <c r="F10" s="17"/>
      <c r="G10" s="17"/>
      <c r="H10" s="17"/>
      <c r="I10" s="17"/>
      <c r="J10" s="17"/>
      <c r="K10" s="17" t="s">
        <v>16</v>
      </c>
    </row>
    <row r="11" spans="1:11" x14ac:dyDescent="0.2">
      <c r="A11" s="4" t="s">
        <v>11</v>
      </c>
      <c r="B11" s="4" t="s">
        <v>50</v>
      </c>
      <c r="C11" s="4" t="s">
        <v>52</v>
      </c>
      <c r="D11" s="4"/>
      <c r="E11" s="4" t="s">
        <v>15</v>
      </c>
      <c r="F11" s="17"/>
      <c r="G11" s="17"/>
      <c r="H11" s="17"/>
      <c r="I11" s="17" t="s">
        <v>16</v>
      </c>
      <c r="J11" s="17" t="s">
        <v>16</v>
      </c>
      <c r="K11" s="17" t="s">
        <v>16</v>
      </c>
    </row>
    <row r="12" spans="1:11" x14ac:dyDescent="0.2">
      <c r="A12" s="4" t="s">
        <v>11</v>
      </c>
      <c r="B12" s="4" t="s">
        <v>54</v>
      </c>
      <c r="C12" s="4" t="s">
        <v>180</v>
      </c>
      <c r="D12" s="4"/>
      <c r="E12" s="4" t="s">
        <v>15</v>
      </c>
      <c r="F12" s="17"/>
      <c r="G12" s="17"/>
      <c r="H12" s="17"/>
      <c r="I12" s="17" t="s">
        <v>16</v>
      </c>
      <c r="J12" s="17" t="s">
        <v>16</v>
      </c>
      <c r="K12" s="17" t="s">
        <v>16</v>
      </c>
    </row>
    <row r="13" spans="1:11" x14ac:dyDescent="0.2">
      <c r="A13" s="4" t="s">
        <v>61</v>
      </c>
      <c r="B13" s="4" t="s">
        <v>62</v>
      </c>
      <c r="C13" s="4" t="s">
        <v>63</v>
      </c>
      <c r="D13" s="4"/>
      <c r="E13" s="4" t="s">
        <v>26</v>
      </c>
      <c r="F13" s="17"/>
      <c r="G13" s="17"/>
      <c r="H13" s="17" t="s">
        <v>16</v>
      </c>
      <c r="I13" s="17" t="s">
        <v>16</v>
      </c>
      <c r="J13" s="17"/>
      <c r="K13" s="17"/>
    </row>
    <row r="14" spans="1:11" x14ac:dyDescent="0.2">
      <c r="A14" s="4" t="s">
        <v>61</v>
      </c>
      <c r="B14" s="4" t="s">
        <v>64</v>
      </c>
      <c r="C14" s="4" t="s">
        <v>65</v>
      </c>
      <c r="D14" s="4"/>
      <c r="E14" s="4" t="s">
        <v>26</v>
      </c>
      <c r="F14" s="17"/>
      <c r="G14" s="17"/>
      <c r="H14" s="17" t="s">
        <v>16</v>
      </c>
      <c r="I14" s="17" t="s">
        <v>16</v>
      </c>
      <c r="J14" s="17"/>
      <c r="K14" s="17"/>
    </row>
    <row r="15" spans="1:11" x14ac:dyDescent="0.2">
      <c r="A15" s="4" t="s">
        <v>61</v>
      </c>
      <c r="B15" s="4" t="s">
        <v>66</v>
      </c>
      <c r="C15" s="4" t="s">
        <v>181</v>
      </c>
      <c r="D15" s="4"/>
      <c r="E15" s="4" t="s">
        <v>26</v>
      </c>
      <c r="F15" s="17"/>
      <c r="G15" s="17"/>
      <c r="H15" s="17" t="s">
        <v>16</v>
      </c>
      <c r="I15" s="17" t="s">
        <v>16</v>
      </c>
      <c r="J15" s="17"/>
      <c r="K15" s="17"/>
    </row>
    <row r="16" spans="1:11" x14ac:dyDescent="0.2">
      <c r="A16" s="4" t="s">
        <v>61</v>
      </c>
      <c r="B16" s="4" t="s">
        <v>68</v>
      </c>
      <c r="C16" s="4" t="s">
        <v>70</v>
      </c>
      <c r="D16" s="4"/>
      <c r="E16" s="4" t="s">
        <v>26</v>
      </c>
      <c r="F16" s="17"/>
      <c r="G16" s="17"/>
      <c r="H16" s="17" t="s">
        <v>16</v>
      </c>
      <c r="I16" s="17" t="s">
        <v>16</v>
      </c>
      <c r="J16" s="17"/>
      <c r="K16" s="17"/>
    </row>
    <row r="17" spans="1:11" x14ac:dyDescent="0.2">
      <c r="A17" s="4" t="s">
        <v>61</v>
      </c>
      <c r="B17" s="4" t="s">
        <v>68</v>
      </c>
      <c r="C17" s="4" t="s">
        <v>72</v>
      </c>
      <c r="D17" s="4"/>
      <c r="E17" s="4" t="s">
        <v>26</v>
      </c>
      <c r="F17" s="17"/>
      <c r="G17" s="17"/>
      <c r="H17" s="17" t="s">
        <v>16</v>
      </c>
      <c r="I17" s="17" t="s">
        <v>16</v>
      </c>
      <c r="J17" s="17"/>
      <c r="K17" s="17"/>
    </row>
    <row r="18" spans="1:11" x14ac:dyDescent="0.2">
      <c r="A18" s="4" t="s">
        <v>73</v>
      </c>
      <c r="B18" s="4" t="s">
        <v>74</v>
      </c>
      <c r="C18" s="4" t="s">
        <v>76</v>
      </c>
      <c r="D18" s="4"/>
      <c r="E18" s="4" t="s">
        <v>15</v>
      </c>
      <c r="F18" s="17"/>
      <c r="G18" s="17" t="s">
        <v>16</v>
      </c>
      <c r="H18" s="17"/>
      <c r="I18" s="17"/>
      <c r="J18" s="17"/>
      <c r="K18" s="17"/>
    </row>
    <row r="19" spans="1:11" x14ac:dyDescent="0.2">
      <c r="A19" s="4" t="s">
        <v>73</v>
      </c>
      <c r="B19" s="4" t="s">
        <v>77</v>
      </c>
      <c r="C19" s="4" t="s">
        <v>78</v>
      </c>
      <c r="D19" s="4"/>
      <c r="E19" s="4" t="s">
        <v>26</v>
      </c>
      <c r="F19" s="4" t="s">
        <v>16</v>
      </c>
      <c r="G19" s="17"/>
      <c r="H19" s="17"/>
      <c r="I19" s="17"/>
      <c r="J19" s="17"/>
      <c r="K19" s="17"/>
    </row>
    <row r="20" spans="1:11" x14ac:dyDescent="0.2">
      <c r="A20" s="4" t="s">
        <v>73</v>
      </c>
      <c r="B20" s="4" t="s">
        <v>79</v>
      </c>
      <c r="C20" s="4" t="s">
        <v>80</v>
      </c>
      <c r="D20" s="4"/>
      <c r="E20" s="4" t="s">
        <v>26</v>
      </c>
      <c r="F20" s="17" t="s">
        <v>16</v>
      </c>
      <c r="G20" s="17"/>
      <c r="H20" s="17"/>
      <c r="I20" s="17"/>
      <c r="J20" s="17"/>
      <c r="K20" s="17"/>
    </row>
    <row r="21" spans="1:11" x14ac:dyDescent="0.2">
      <c r="A21" s="4" t="s">
        <v>73</v>
      </c>
      <c r="B21" s="4" t="s">
        <v>81</v>
      </c>
      <c r="C21" s="4" t="s">
        <v>182</v>
      </c>
      <c r="D21" s="4"/>
      <c r="E21" s="4" t="s">
        <v>26</v>
      </c>
      <c r="F21" s="17" t="s">
        <v>16</v>
      </c>
      <c r="G21" s="17"/>
      <c r="H21" s="17"/>
      <c r="I21" s="17"/>
      <c r="J21" s="17"/>
      <c r="K21" s="17"/>
    </row>
    <row r="22" spans="1:11" x14ac:dyDescent="0.2">
      <c r="A22" s="4" t="s">
        <v>73</v>
      </c>
      <c r="B22" s="4" t="s">
        <v>81</v>
      </c>
      <c r="C22" s="4" t="s">
        <v>183</v>
      </c>
      <c r="D22" s="4"/>
      <c r="E22" s="4" t="s">
        <v>26</v>
      </c>
      <c r="F22" s="17" t="s">
        <v>16</v>
      </c>
      <c r="G22" s="17"/>
      <c r="H22" s="17"/>
      <c r="I22" s="17"/>
      <c r="J22" s="17"/>
      <c r="K22" s="17"/>
    </row>
    <row r="23" spans="1:11" x14ac:dyDescent="0.2">
      <c r="A23" s="4" t="s">
        <v>73</v>
      </c>
      <c r="B23" s="4" t="s">
        <v>88</v>
      </c>
      <c r="C23" s="4" t="s">
        <v>89</v>
      </c>
      <c r="D23" s="4"/>
      <c r="E23" s="4" t="s">
        <v>26</v>
      </c>
      <c r="F23" s="17" t="s">
        <v>16</v>
      </c>
      <c r="G23" s="17"/>
      <c r="H23" s="17"/>
      <c r="I23" s="17"/>
      <c r="J23" s="17"/>
      <c r="K23" s="17"/>
    </row>
    <row r="24" spans="1:11" x14ac:dyDescent="0.2">
      <c r="A24" s="4" t="s">
        <v>91</v>
      </c>
      <c r="B24" s="4" t="s">
        <v>92</v>
      </c>
      <c r="C24" s="4" t="s">
        <v>93</v>
      </c>
      <c r="D24" s="4"/>
      <c r="E24" s="4" t="s">
        <v>15</v>
      </c>
      <c r="F24" s="17"/>
      <c r="G24" s="17" t="s">
        <v>16</v>
      </c>
      <c r="H24" s="17" t="s">
        <v>16</v>
      </c>
      <c r="I24" s="17"/>
      <c r="J24" s="17"/>
      <c r="K24" s="17"/>
    </row>
    <row r="25" spans="1:11" x14ac:dyDescent="0.2">
      <c r="A25" s="4" t="s">
        <v>91</v>
      </c>
      <c r="B25" s="4" t="s">
        <v>184</v>
      </c>
      <c r="C25" s="4" t="s">
        <v>95</v>
      </c>
      <c r="D25" s="4"/>
      <c r="E25" s="4" t="s">
        <v>15</v>
      </c>
      <c r="F25" s="17"/>
      <c r="G25" s="17"/>
      <c r="H25" s="17" t="s">
        <v>16</v>
      </c>
      <c r="I25" s="17"/>
      <c r="J25" s="17"/>
      <c r="K25" s="17" t="s">
        <v>16</v>
      </c>
    </row>
    <row r="26" spans="1:11" x14ac:dyDescent="0.2">
      <c r="A26" s="4" t="s">
        <v>91</v>
      </c>
      <c r="B26" s="4" t="s">
        <v>96</v>
      </c>
      <c r="C26" s="4" t="s">
        <v>97</v>
      </c>
      <c r="D26" s="4"/>
      <c r="E26" s="4" t="s">
        <v>15</v>
      </c>
      <c r="F26" s="17"/>
      <c r="G26" s="17" t="s">
        <v>16</v>
      </c>
      <c r="H26" s="17"/>
      <c r="I26" s="17"/>
      <c r="J26" s="17" t="s">
        <v>16</v>
      </c>
      <c r="K26" s="17"/>
    </row>
    <row r="29" spans="1:11" x14ac:dyDescent="0.2">
      <c r="A29" t="s">
        <v>185</v>
      </c>
    </row>
  </sheetData>
  <mergeCells count="1">
    <mergeCell ref="F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FE8B-B359-CC48-8F11-F322EA2E822B}">
  <dimension ref="A1:K33"/>
  <sheetViews>
    <sheetView tabSelected="1" workbookViewId="0">
      <selection activeCell="M1" sqref="M1"/>
    </sheetView>
  </sheetViews>
  <sheetFormatPr baseColWidth="10" defaultRowHeight="16" x14ac:dyDescent="0.2"/>
  <sheetData>
    <row r="1" spans="1:11" ht="238" x14ac:dyDescent="0.2">
      <c r="A1" s="17"/>
      <c r="B1" s="17"/>
      <c r="C1" s="17"/>
      <c r="D1" s="17"/>
      <c r="E1" s="20" t="s">
        <v>167</v>
      </c>
      <c r="F1" s="19" t="s">
        <v>168</v>
      </c>
      <c r="G1" s="19"/>
      <c r="H1" s="19"/>
      <c r="I1" s="19"/>
      <c r="J1" s="19"/>
      <c r="K1" s="19"/>
    </row>
    <row r="2" spans="1:11" x14ac:dyDescent="0.2">
      <c r="A2" s="18" t="s">
        <v>0</v>
      </c>
      <c r="B2" s="18" t="s">
        <v>1</v>
      </c>
      <c r="C2" s="18" t="s">
        <v>3</v>
      </c>
      <c r="D2" s="18" t="s">
        <v>169</v>
      </c>
      <c r="E2" s="18" t="s">
        <v>4</v>
      </c>
      <c r="F2" s="18" t="s">
        <v>170</v>
      </c>
      <c r="G2" s="18" t="s">
        <v>171</v>
      </c>
      <c r="H2" s="18" t="s">
        <v>172</v>
      </c>
      <c r="I2" s="18" t="s">
        <v>173</v>
      </c>
      <c r="J2" s="18" t="s">
        <v>174</v>
      </c>
      <c r="K2" s="18" t="s">
        <v>175</v>
      </c>
    </row>
    <row r="3" spans="1:11" x14ac:dyDescent="0.2">
      <c r="A3" s="4" t="s">
        <v>11</v>
      </c>
      <c r="B3" s="4" t="s">
        <v>12</v>
      </c>
      <c r="C3" s="4" t="s">
        <v>14</v>
      </c>
      <c r="D3" s="4"/>
      <c r="E3" s="4" t="s">
        <v>15</v>
      </c>
      <c r="F3" s="17" t="s">
        <v>16</v>
      </c>
      <c r="G3" s="17"/>
      <c r="H3" s="17"/>
      <c r="I3" s="17" t="s">
        <v>16</v>
      </c>
      <c r="J3" s="17" t="s">
        <v>16</v>
      </c>
      <c r="K3" s="17" t="s">
        <v>16</v>
      </c>
    </row>
    <row r="4" spans="1:11" x14ac:dyDescent="0.2">
      <c r="A4" s="4" t="s">
        <v>11</v>
      </c>
      <c r="B4" s="4" t="s">
        <v>12</v>
      </c>
      <c r="C4" s="4" t="s">
        <v>18</v>
      </c>
      <c r="D4" s="4" t="s">
        <v>176</v>
      </c>
      <c r="E4" s="4" t="s">
        <v>15</v>
      </c>
      <c r="F4" s="17" t="s">
        <v>16</v>
      </c>
      <c r="G4" s="17"/>
      <c r="H4" s="17"/>
      <c r="I4" s="17" t="s">
        <v>16</v>
      </c>
      <c r="J4" s="17" t="s">
        <v>16</v>
      </c>
      <c r="K4" s="17"/>
    </row>
    <row r="5" spans="1:11" x14ac:dyDescent="0.2">
      <c r="A5" s="4" t="s">
        <v>11</v>
      </c>
      <c r="B5" s="4" t="s">
        <v>21</v>
      </c>
      <c r="C5" s="4" t="s">
        <v>186</v>
      </c>
      <c r="D5" s="4"/>
      <c r="E5" s="4" t="s">
        <v>15</v>
      </c>
      <c r="F5" s="17"/>
      <c r="G5" s="17"/>
      <c r="H5" s="17"/>
      <c r="I5" s="17"/>
      <c r="J5" s="17"/>
      <c r="K5" s="17" t="s">
        <v>16</v>
      </c>
    </row>
    <row r="6" spans="1:11" x14ac:dyDescent="0.2">
      <c r="A6" s="4" t="s">
        <v>11</v>
      </c>
      <c r="B6" s="4" t="s">
        <v>24</v>
      </c>
      <c r="C6" s="4" t="s">
        <v>25</v>
      </c>
      <c r="D6" s="4"/>
      <c r="E6" s="4" t="s">
        <v>26</v>
      </c>
      <c r="F6" s="17" t="s">
        <v>16</v>
      </c>
      <c r="G6" s="17" t="s">
        <v>16</v>
      </c>
      <c r="H6" s="17"/>
      <c r="I6" s="17" t="s">
        <v>16</v>
      </c>
      <c r="J6" s="17" t="s">
        <v>16</v>
      </c>
      <c r="K6" s="17" t="s">
        <v>16</v>
      </c>
    </row>
    <row r="7" spans="1:11" x14ac:dyDescent="0.2">
      <c r="A7" s="4" t="s">
        <v>11</v>
      </c>
      <c r="B7" s="4" t="s">
        <v>27</v>
      </c>
      <c r="C7" s="4" t="s">
        <v>29</v>
      </c>
      <c r="D7" s="4"/>
      <c r="E7" s="4" t="s">
        <v>26</v>
      </c>
      <c r="F7" s="17" t="s">
        <v>16</v>
      </c>
      <c r="G7" s="17"/>
      <c r="H7" s="17"/>
      <c r="I7" s="17"/>
      <c r="J7" s="17" t="s">
        <v>16</v>
      </c>
      <c r="K7" s="17" t="s">
        <v>16</v>
      </c>
    </row>
    <row r="8" spans="1:11" x14ac:dyDescent="0.2">
      <c r="A8" s="4" t="s">
        <v>11</v>
      </c>
      <c r="B8" s="4" t="s">
        <v>27</v>
      </c>
      <c r="C8" s="4" t="s">
        <v>31</v>
      </c>
      <c r="D8" s="4" t="s">
        <v>177</v>
      </c>
      <c r="E8" s="4" t="s">
        <v>15</v>
      </c>
      <c r="F8" s="17" t="s">
        <v>16</v>
      </c>
      <c r="G8" s="17"/>
      <c r="H8" s="17"/>
      <c r="I8" s="17"/>
      <c r="J8" s="17" t="s">
        <v>16</v>
      </c>
      <c r="K8" s="17" t="s">
        <v>16</v>
      </c>
    </row>
    <row r="9" spans="1:11" x14ac:dyDescent="0.2">
      <c r="A9" s="4" t="s">
        <v>11</v>
      </c>
      <c r="B9" s="4" t="s">
        <v>187</v>
      </c>
      <c r="C9" s="4" t="s">
        <v>188</v>
      </c>
      <c r="D9" s="4"/>
      <c r="E9" s="4" t="s">
        <v>15</v>
      </c>
      <c r="F9" s="17"/>
      <c r="G9" s="17"/>
      <c r="H9" s="17"/>
      <c r="I9" s="17"/>
      <c r="J9" s="17"/>
      <c r="K9" s="17" t="s">
        <v>16</v>
      </c>
    </row>
    <row r="10" spans="1:11" x14ac:dyDescent="0.2">
      <c r="A10" s="4" t="s">
        <v>11</v>
      </c>
      <c r="B10" s="4" t="s">
        <v>189</v>
      </c>
      <c r="C10" s="4" t="s">
        <v>190</v>
      </c>
      <c r="D10" s="4"/>
      <c r="E10" s="4" t="s">
        <v>15</v>
      </c>
      <c r="F10" s="17"/>
      <c r="G10" s="17"/>
      <c r="H10" s="17"/>
      <c r="I10" s="17"/>
      <c r="J10" s="17"/>
      <c r="K10" s="17" t="s">
        <v>16</v>
      </c>
    </row>
    <row r="11" spans="1:11" x14ac:dyDescent="0.2">
      <c r="A11" s="4" t="s">
        <v>11</v>
      </c>
      <c r="B11" s="4" t="s">
        <v>41</v>
      </c>
      <c r="C11" s="4" t="s">
        <v>191</v>
      </c>
      <c r="D11" s="4"/>
      <c r="E11" s="4" t="s">
        <v>26</v>
      </c>
      <c r="F11" s="17"/>
      <c r="G11" s="17"/>
      <c r="H11" s="17"/>
      <c r="I11" s="17"/>
      <c r="J11" s="17"/>
      <c r="K11" s="17" t="s">
        <v>16</v>
      </c>
    </row>
    <row r="12" spans="1:11" x14ac:dyDescent="0.2">
      <c r="A12" s="4" t="s">
        <v>11</v>
      </c>
      <c r="B12" s="4" t="s">
        <v>50</v>
      </c>
      <c r="C12" s="4" t="s">
        <v>52</v>
      </c>
      <c r="D12" s="4"/>
      <c r="E12" s="4" t="s">
        <v>15</v>
      </c>
      <c r="F12" s="17" t="s">
        <v>16</v>
      </c>
      <c r="G12" s="17"/>
      <c r="H12" s="17"/>
      <c r="I12" s="17" t="s">
        <v>16</v>
      </c>
      <c r="J12" s="17" t="s">
        <v>16</v>
      </c>
      <c r="K12" s="17" t="s">
        <v>16</v>
      </c>
    </row>
    <row r="13" spans="1:11" x14ac:dyDescent="0.2">
      <c r="A13" s="4" t="s">
        <v>11</v>
      </c>
      <c r="B13" s="4" t="s">
        <v>192</v>
      </c>
      <c r="C13" s="4" t="s">
        <v>193</v>
      </c>
      <c r="D13" s="4"/>
      <c r="E13" s="4" t="s">
        <v>15</v>
      </c>
      <c r="F13" s="17" t="s">
        <v>16</v>
      </c>
      <c r="G13" s="17"/>
      <c r="H13" s="17"/>
      <c r="I13" s="17" t="s">
        <v>16</v>
      </c>
      <c r="J13" s="17" t="s">
        <v>16</v>
      </c>
      <c r="K13" s="17"/>
    </row>
    <row r="14" spans="1:11" x14ac:dyDescent="0.2">
      <c r="A14" s="4" t="s">
        <v>11</v>
      </c>
      <c r="B14" s="4" t="s">
        <v>54</v>
      </c>
      <c r="C14" s="4" t="s">
        <v>180</v>
      </c>
      <c r="D14" s="4"/>
      <c r="E14" s="4" t="s">
        <v>15</v>
      </c>
      <c r="F14" s="17"/>
      <c r="G14" s="17"/>
      <c r="H14" s="17"/>
      <c r="I14" s="17" t="s">
        <v>16</v>
      </c>
      <c r="J14" s="17" t="s">
        <v>16</v>
      </c>
      <c r="K14" s="17" t="s">
        <v>16</v>
      </c>
    </row>
    <row r="15" spans="1:11" x14ac:dyDescent="0.2">
      <c r="A15" s="4" t="s">
        <v>61</v>
      </c>
      <c r="B15" s="4" t="s">
        <v>62</v>
      </c>
      <c r="C15" s="4" t="s">
        <v>194</v>
      </c>
      <c r="D15" s="4"/>
      <c r="E15" s="4" t="s">
        <v>26</v>
      </c>
      <c r="F15" s="17"/>
      <c r="G15" s="17"/>
      <c r="H15" s="17" t="s">
        <v>16</v>
      </c>
      <c r="I15" s="17" t="s">
        <v>16</v>
      </c>
      <c r="J15" s="17" t="s">
        <v>16</v>
      </c>
      <c r="K15" s="17"/>
    </row>
    <row r="16" spans="1:11" x14ac:dyDescent="0.2">
      <c r="A16" s="4" t="s">
        <v>61</v>
      </c>
      <c r="B16" s="4" t="s">
        <v>62</v>
      </c>
      <c r="C16" s="4" t="s">
        <v>195</v>
      </c>
      <c r="D16" s="4"/>
      <c r="E16" s="4" t="s">
        <v>26</v>
      </c>
      <c r="F16" s="17"/>
      <c r="G16" s="17"/>
      <c r="H16" s="17" t="s">
        <v>16</v>
      </c>
      <c r="I16" s="17" t="s">
        <v>16</v>
      </c>
      <c r="J16" s="17" t="s">
        <v>16</v>
      </c>
      <c r="K16" s="17"/>
    </row>
    <row r="17" spans="1:11" x14ac:dyDescent="0.2">
      <c r="A17" s="4" t="s">
        <v>61</v>
      </c>
      <c r="B17" s="4" t="s">
        <v>62</v>
      </c>
      <c r="C17" s="4" t="s">
        <v>196</v>
      </c>
      <c r="D17" s="4"/>
      <c r="E17" s="4" t="s">
        <v>26</v>
      </c>
      <c r="F17" s="17"/>
      <c r="G17" s="17"/>
      <c r="H17" s="17" t="s">
        <v>16</v>
      </c>
      <c r="I17" s="17" t="s">
        <v>16</v>
      </c>
      <c r="J17" s="17" t="s">
        <v>16</v>
      </c>
      <c r="K17" s="17"/>
    </row>
    <row r="18" spans="1:11" x14ac:dyDescent="0.2">
      <c r="A18" s="4" t="s">
        <v>61</v>
      </c>
      <c r="B18" s="4" t="s">
        <v>64</v>
      </c>
      <c r="C18" s="4" t="s">
        <v>65</v>
      </c>
      <c r="D18" s="4"/>
      <c r="E18" s="4" t="s">
        <v>26</v>
      </c>
      <c r="F18" s="17"/>
      <c r="G18" s="17"/>
      <c r="H18" s="17" t="s">
        <v>16</v>
      </c>
      <c r="I18" s="17" t="s">
        <v>16</v>
      </c>
      <c r="J18" s="17" t="s">
        <v>16</v>
      </c>
      <c r="K18" s="17"/>
    </row>
    <row r="19" spans="1:11" x14ac:dyDescent="0.2">
      <c r="A19" s="4" t="s">
        <v>61</v>
      </c>
      <c r="B19" s="4" t="s">
        <v>66</v>
      </c>
      <c r="C19" s="4" t="s">
        <v>181</v>
      </c>
      <c r="D19" s="4"/>
      <c r="E19" s="4" t="s">
        <v>26</v>
      </c>
      <c r="F19" s="17"/>
      <c r="G19" s="17"/>
      <c r="H19" s="17" t="s">
        <v>16</v>
      </c>
      <c r="I19" s="17" t="s">
        <v>16</v>
      </c>
      <c r="J19" s="17" t="s">
        <v>16</v>
      </c>
      <c r="K19" s="17"/>
    </row>
    <row r="20" spans="1:11" x14ac:dyDescent="0.2">
      <c r="A20" s="4" t="s">
        <v>61</v>
      </c>
      <c r="B20" s="4" t="s">
        <v>68</v>
      </c>
      <c r="C20" s="4" t="s">
        <v>70</v>
      </c>
      <c r="D20" s="4"/>
      <c r="E20" s="4" t="s">
        <v>26</v>
      </c>
      <c r="F20" s="17"/>
      <c r="G20" s="17"/>
      <c r="H20" s="17" t="s">
        <v>16</v>
      </c>
      <c r="I20" s="17" t="s">
        <v>16</v>
      </c>
      <c r="J20" s="17" t="s">
        <v>16</v>
      </c>
      <c r="K20" s="17"/>
    </row>
    <row r="21" spans="1:11" x14ac:dyDescent="0.2">
      <c r="A21" s="4" t="s">
        <v>61</v>
      </c>
      <c r="B21" s="4" t="s">
        <v>68</v>
      </c>
      <c r="C21" s="4" t="s">
        <v>72</v>
      </c>
      <c r="D21" s="4"/>
      <c r="E21" s="4" t="s">
        <v>26</v>
      </c>
      <c r="F21" s="17"/>
      <c r="G21" s="17"/>
      <c r="H21" s="17" t="s">
        <v>16</v>
      </c>
      <c r="I21" s="17" t="s">
        <v>16</v>
      </c>
      <c r="J21" s="17" t="s">
        <v>16</v>
      </c>
      <c r="K21" s="17"/>
    </row>
    <row r="22" spans="1:11" x14ac:dyDescent="0.2">
      <c r="A22" s="4" t="s">
        <v>73</v>
      </c>
      <c r="B22" s="4" t="s">
        <v>74</v>
      </c>
      <c r="C22" s="4" t="s">
        <v>76</v>
      </c>
      <c r="D22" s="4"/>
      <c r="E22" s="4" t="s">
        <v>15</v>
      </c>
      <c r="F22" s="17"/>
      <c r="G22" s="17" t="s">
        <v>16</v>
      </c>
      <c r="H22" s="17"/>
      <c r="I22" s="17"/>
      <c r="J22" s="17"/>
      <c r="K22" s="17"/>
    </row>
    <row r="23" spans="1:11" x14ac:dyDescent="0.2">
      <c r="A23" s="4" t="s">
        <v>73</v>
      </c>
      <c r="B23" s="4" t="s">
        <v>77</v>
      </c>
      <c r="C23" s="4" t="s">
        <v>78</v>
      </c>
      <c r="D23" s="4"/>
      <c r="E23" s="4" t="s">
        <v>26</v>
      </c>
      <c r="F23" s="4" t="s">
        <v>16</v>
      </c>
      <c r="G23" s="17"/>
      <c r="H23" s="17"/>
      <c r="I23" s="17"/>
      <c r="J23" s="17"/>
      <c r="K23" s="17"/>
    </row>
    <row r="24" spans="1:11" x14ac:dyDescent="0.2">
      <c r="A24" s="4" t="s">
        <v>73</v>
      </c>
      <c r="B24" s="4" t="s">
        <v>79</v>
      </c>
      <c r="C24" s="4" t="s">
        <v>80</v>
      </c>
      <c r="D24" s="4"/>
      <c r="E24" s="4" t="s">
        <v>26</v>
      </c>
      <c r="F24" s="17" t="s">
        <v>16</v>
      </c>
      <c r="G24" s="17"/>
      <c r="H24" s="17"/>
      <c r="I24" s="17"/>
      <c r="J24" s="17"/>
      <c r="K24" s="17"/>
    </row>
    <row r="25" spans="1:11" x14ac:dyDescent="0.2">
      <c r="A25" s="4" t="s">
        <v>73</v>
      </c>
      <c r="B25" s="4" t="s">
        <v>81</v>
      </c>
      <c r="C25" s="4" t="s">
        <v>182</v>
      </c>
      <c r="D25" s="4"/>
      <c r="E25" s="4" t="s">
        <v>26</v>
      </c>
      <c r="F25" s="17" t="s">
        <v>16</v>
      </c>
      <c r="G25" s="17"/>
      <c r="H25" s="17"/>
      <c r="I25" s="17"/>
      <c r="J25" s="17"/>
      <c r="K25" s="17"/>
    </row>
    <row r="26" spans="1:11" x14ac:dyDescent="0.2">
      <c r="A26" s="4" t="s">
        <v>73</v>
      </c>
      <c r="B26" s="4" t="s">
        <v>81</v>
      </c>
      <c r="C26" s="4" t="s">
        <v>183</v>
      </c>
      <c r="D26" s="4"/>
      <c r="E26" s="4" t="s">
        <v>26</v>
      </c>
      <c r="F26" s="17" t="s">
        <v>16</v>
      </c>
      <c r="G26" s="17"/>
      <c r="H26" s="17"/>
      <c r="I26" s="17"/>
      <c r="J26" s="17"/>
      <c r="K26" s="17"/>
    </row>
    <row r="27" spans="1:11" x14ac:dyDescent="0.2">
      <c r="A27" s="4" t="s">
        <v>73</v>
      </c>
      <c r="B27" s="4" t="s">
        <v>88</v>
      </c>
      <c r="C27" s="4" t="s">
        <v>89</v>
      </c>
      <c r="D27" s="4"/>
      <c r="E27" s="4" t="s">
        <v>26</v>
      </c>
      <c r="F27" s="17" t="s">
        <v>16</v>
      </c>
      <c r="G27" s="17"/>
      <c r="H27" s="17"/>
      <c r="I27" s="17"/>
      <c r="J27" s="17"/>
      <c r="K27" s="17"/>
    </row>
    <row r="28" spans="1:11" x14ac:dyDescent="0.2">
      <c r="A28" s="4" t="s">
        <v>91</v>
      </c>
      <c r="B28" s="4" t="s">
        <v>92</v>
      </c>
      <c r="C28" s="4" t="s">
        <v>93</v>
      </c>
      <c r="D28" s="4"/>
      <c r="E28" s="4" t="s">
        <v>15</v>
      </c>
      <c r="F28" s="17"/>
      <c r="G28" s="17" t="s">
        <v>16</v>
      </c>
      <c r="H28" s="17" t="s">
        <v>16</v>
      </c>
      <c r="I28" s="17"/>
      <c r="J28" s="17"/>
      <c r="K28" s="17"/>
    </row>
    <row r="29" spans="1:11" x14ac:dyDescent="0.2">
      <c r="A29" s="4" t="s">
        <v>91</v>
      </c>
      <c r="B29" s="4" t="s">
        <v>184</v>
      </c>
      <c r="C29" s="4" t="s">
        <v>95</v>
      </c>
      <c r="D29" s="4"/>
      <c r="E29" s="4" t="s">
        <v>15</v>
      </c>
      <c r="F29" s="17"/>
      <c r="G29" s="17"/>
      <c r="H29" s="17" t="s">
        <v>16</v>
      </c>
      <c r="I29" s="17"/>
      <c r="J29" s="17"/>
      <c r="K29" s="17" t="s">
        <v>16</v>
      </c>
    </row>
    <row r="30" spans="1:11" x14ac:dyDescent="0.2">
      <c r="A30" s="4" t="s">
        <v>91</v>
      </c>
      <c r="B30" s="4" t="s">
        <v>96</v>
      </c>
      <c r="C30" s="4" t="s">
        <v>97</v>
      </c>
      <c r="D30" s="4"/>
      <c r="E30" s="4" t="s">
        <v>15</v>
      </c>
      <c r="F30" s="17"/>
      <c r="G30" s="17" t="s">
        <v>16</v>
      </c>
      <c r="H30" s="17"/>
      <c r="I30" s="17"/>
      <c r="J30" s="17" t="s">
        <v>16</v>
      </c>
      <c r="K30" s="17"/>
    </row>
    <row r="31" spans="1:11" x14ac:dyDescent="0.2">
      <c r="A31" s="4" t="s">
        <v>197</v>
      </c>
      <c r="B31" s="4" t="s">
        <v>198</v>
      </c>
      <c r="C31" s="4" t="s">
        <v>199</v>
      </c>
      <c r="D31" s="4"/>
      <c r="E31" s="4" t="s">
        <v>15</v>
      </c>
      <c r="F31" s="17"/>
      <c r="G31" s="17" t="s">
        <v>16</v>
      </c>
      <c r="H31" s="17" t="s">
        <v>16</v>
      </c>
      <c r="I31" s="17"/>
      <c r="J31" s="17"/>
      <c r="K31" s="17"/>
    </row>
    <row r="32" spans="1:11" x14ac:dyDescent="0.2">
      <c r="A32" s="4" t="s">
        <v>197</v>
      </c>
      <c r="B32" s="4" t="s">
        <v>200</v>
      </c>
      <c r="C32" s="4" t="s">
        <v>201</v>
      </c>
      <c r="D32" s="4"/>
      <c r="E32" s="4" t="s">
        <v>15</v>
      </c>
      <c r="F32" s="17"/>
      <c r="G32" s="17" t="s">
        <v>16</v>
      </c>
      <c r="H32" s="17"/>
      <c r="I32" s="17"/>
      <c r="J32" s="17" t="s">
        <v>16</v>
      </c>
      <c r="K32" s="17"/>
    </row>
    <row r="33" spans="1:11" x14ac:dyDescent="0.2">
      <c r="A33" s="4" t="s">
        <v>197</v>
      </c>
      <c r="B33" s="4" t="s">
        <v>202</v>
      </c>
      <c r="C33" s="4" t="s">
        <v>203</v>
      </c>
      <c r="D33" s="17"/>
      <c r="E33" s="4" t="s">
        <v>15</v>
      </c>
      <c r="F33" s="17" t="s">
        <v>16</v>
      </c>
      <c r="G33" s="17" t="s">
        <v>16</v>
      </c>
      <c r="H33" s="17"/>
      <c r="I33" s="17" t="s">
        <v>16</v>
      </c>
      <c r="J33" s="17" t="s">
        <v>16</v>
      </c>
      <c r="K33" s="17" t="s">
        <v>16</v>
      </c>
    </row>
  </sheetData>
  <mergeCells count="1">
    <mergeCell ref="F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1724-5B29-934D-97A3-4F5620D9530D}">
  <dimension ref="A1:E24"/>
  <sheetViews>
    <sheetView workbookViewId="0">
      <selection activeCell="B18" sqref="B18"/>
    </sheetView>
  </sheetViews>
  <sheetFormatPr baseColWidth="10" defaultColWidth="11" defaultRowHeight="16" x14ac:dyDescent="0.2"/>
  <cols>
    <col min="1" max="1" width="36.33203125" bestFit="1" customWidth="1"/>
    <col min="2" max="2" width="29.6640625" bestFit="1" customWidth="1"/>
  </cols>
  <sheetData>
    <row r="1" spans="1:2" x14ac:dyDescent="0.2">
      <c r="A1" s="2" t="s">
        <v>98</v>
      </c>
      <c r="B1" s="2" t="s">
        <v>99</v>
      </c>
    </row>
    <row r="2" spans="1:2" x14ac:dyDescent="0.2">
      <c r="A2" t="s">
        <v>100</v>
      </c>
      <c r="B2" t="s">
        <v>101</v>
      </c>
    </row>
    <row r="3" spans="1:2" x14ac:dyDescent="0.2">
      <c r="A3" t="s">
        <v>100</v>
      </c>
      <c r="B3" t="s">
        <v>102</v>
      </c>
    </row>
    <row r="4" spans="1:2" x14ac:dyDescent="0.2">
      <c r="A4" t="s">
        <v>100</v>
      </c>
      <c r="B4" t="s">
        <v>103</v>
      </c>
    </row>
    <row r="5" spans="1:2" x14ac:dyDescent="0.2">
      <c r="A5" t="s">
        <v>100</v>
      </c>
      <c r="B5" t="s">
        <v>104</v>
      </c>
    </row>
    <row r="6" spans="1:2" x14ac:dyDescent="0.2">
      <c r="A6" t="s">
        <v>100</v>
      </c>
      <c r="B6" t="s">
        <v>105</v>
      </c>
    </row>
    <row r="7" spans="1:2" x14ac:dyDescent="0.2">
      <c r="A7" t="s">
        <v>100</v>
      </c>
      <c r="B7" t="s">
        <v>106</v>
      </c>
    </row>
    <row r="8" spans="1:2" x14ac:dyDescent="0.2">
      <c r="A8" t="s">
        <v>100</v>
      </c>
      <c r="B8" t="s">
        <v>129</v>
      </c>
    </row>
    <row r="9" spans="1:2" x14ac:dyDescent="0.2">
      <c r="A9" t="s">
        <v>100</v>
      </c>
      <c r="B9" t="s">
        <v>107</v>
      </c>
    </row>
    <row r="10" spans="1:2" x14ac:dyDescent="0.2">
      <c r="A10" t="s">
        <v>100</v>
      </c>
      <c r="B10" s="6" t="s">
        <v>108</v>
      </c>
    </row>
    <row r="11" spans="1:2" x14ac:dyDescent="0.2">
      <c r="A11" t="s">
        <v>100</v>
      </c>
      <c r="B11" t="s">
        <v>109</v>
      </c>
    </row>
    <row r="12" spans="1:2" x14ac:dyDescent="0.2">
      <c r="A12" t="s">
        <v>100</v>
      </c>
      <c r="B12" t="s">
        <v>130</v>
      </c>
    </row>
    <row r="13" spans="1:2" x14ac:dyDescent="0.2">
      <c r="A13" t="s">
        <v>100</v>
      </c>
      <c r="B13" s="7" t="s">
        <v>137</v>
      </c>
    </row>
    <row r="14" spans="1:2" x14ac:dyDescent="0.2">
      <c r="A14" t="s">
        <v>110</v>
      </c>
      <c r="B14" t="s">
        <v>111</v>
      </c>
    </row>
    <row r="15" spans="1:2" x14ac:dyDescent="0.2">
      <c r="A15" t="s">
        <v>110</v>
      </c>
      <c r="B15" t="s">
        <v>112</v>
      </c>
    </row>
    <row r="16" spans="1:2" x14ac:dyDescent="0.2">
      <c r="A16" t="s">
        <v>110</v>
      </c>
      <c r="B16" t="s">
        <v>113</v>
      </c>
    </row>
    <row r="17" spans="1:5" x14ac:dyDescent="0.2">
      <c r="A17" t="s">
        <v>114</v>
      </c>
      <c r="B17" t="s">
        <v>115</v>
      </c>
    </row>
    <row r="18" spans="1:5" x14ac:dyDescent="0.2">
      <c r="A18" t="s">
        <v>114</v>
      </c>
      <c r="B18" s="7" t="s">
        <v>116</v>
      </c>
      <c r="E18" s="7" t="s">
        <v>144</v>
      </c>
    </row>
    <row r="19" spans="1:5" x14ac:dyDescent="0.2">
      <c r="A19" t="s">
        <v>114</v>
      </c>
      <c r="B19" t="s">
        <v>117</v>
      </c>
    </row>
    <row r="20" spans="1:5" x14ac:dyDescent="0.2">
      <c r="A20" t="s">
        <v>114</v>
      </c>
      <c r="B20" t="s">
        <v>118</v>
      </c>
    </row>
    <row r="22" spans="1:5" x14ac:dyDescent="0.2">
      <c r="A22" t="s">
        <v>119</v>
      </c>
    </row>
    <row r="23" spans="1:5" x14ac:dyDescent="0.2">
      <c r="A23" t="s">
        <v>120</v>
      </c>
    </row>
    <row r="24" spans="1:5" x14ac:dyDescent="0.2">
      <c r="A24" s="6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7A41-5C08-024B-8E12-B539DFD980B2}">
  <sheetPr filterMode="1"/>
  <dimension ref="A1:L205"/>
  <sheetViews>
    <sheetView zoomScale="90" workbookViewId="0">
      <pane ySplit="1" topLeftCell="A79" activePane="bottomLeft" state="frozen"/>
      <selection pane="bottomLeft" activeCell="J12" sqref="J12"/>
    </sheetView>
  </sheetViews>
  <sheetFormatPr baseColWidth="10" defaultColWidth="10.83203125" defaultRowHeight="16" x14ac:dyDescent="0.2"/>
  <cols>
    <col min="1" max="1" width="18.33203125" style="9" bestFit="1" customWidth="1"/>
    <col min="2" max="3" width="18.33203125" style="9" customWidth="1"/>
    <col min="4" max="4" width="37" style="9" customWidth="1"/>
    <col min="5" max="6" width="18.33203125" style="9" customWidth="1"/>
    <col min="7" max="7" width="11.33203125" style="9" bestFit="1" customWidth="1"/>
    <col min="8" max="8" width="33.5" style="9" customWidth="1"/>
    <col min="9" max="9" width="24.83203125" style="13" customWidth="1"/>
    <col min="10" max="10" width="37.5" style="9" customWidth="1"/>
    <col min="11" max="16384" width="10.83203125" style="9"/>
  </cols>
  <sheetData>
    <row r="1" spans="1:12" s="8" customFormat="1" ht="17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122</v>
      </c>
      <c r="F1" s="8" t="s">
        <v>123</v>
      </c>
      <c r="G1" s="8" t="s">
        <v>124</v>
      </c>
      <c r="H1" s="8" t="s">
        <v>143</v>
      </c>
      <c r="I1" s="16" t="s">
        <v>133</v>
      </c>
      <c r="J1" s="8" t="s">
        <v>125</v>
      </c>
    </row>
    <row r="2" spans="1:12" ht="51" x14ac:dyDescent="0.2">
      <c r="A2" s="9" t="s">
        <v>11</v>
      </c>
      <c r="B2" s="9" t="s">
        <v>12</v>
      </c>
      <c r="C2" s="9" t="s">
        <v>13</v>
      </c>
      <c r="D2" s="9" t="s">
        <v>14</v>
      </c>
      <c r="E2" s="9" t="s">
        <v>5</v>
      </c>
      <c r="F2" s="9" t="str" cm="1">
        <f t="array" ref="F2">IF(
  INDEX(
    param_list_and_type!$F:$K,
    MATCH(1,
      (param_list_and_type!$A:$A=A2)*
      (param_list_and_type!$B:$B=B2)*
      (param_list_and_type!$C:$C=C2),
    0),
    MATCH(E2, param_list_and_type!$F$1:$K$1, 0)
  )="X",
"Yes",
"No"
)</f>
        <v>Yes</v>
      </c>
      <c r="I2" s="13" t="s">
        <v>148</v>
      </c>
      <c r="J2" s="9" t="s">
        <v>149</v>
      </c>
      <c r="K2" s="10"/>
      <c r="L2" s="9" t="s">
        <v>126</v>
      </c>
    </row>
    <row r="3" spans="1:12" hidden="1" x14ac:dyDescent="0.2">
      <c r="A3" s="9" t="s">
        <v>11</v>
      </c>
      <c r="B3" s="9" t="s">
        <v>12</v>
      </c>
      <c r="C3" s="9" t="s">
        <v>13</v>
      </c>
      <c r="D3" s="9" t="s">
        <v>14</v>
      </c>
      <c r="E3" s="9" t="s">
        <v>6</v>
      </c>
      <c r="F3" s="9" t="str" cm="1">
        <f t="array" ref="F3">IF(
  INDEX(
    param_list_and_type!$F:$K,
    MATCH(1,
      (param_list_and_type!$A:$A=A3)*
      (param_list_and_type!$B:$B=B3)*
      (param_list_and_type!$C:$C=C3),
    0),
    MATCH(E3, param_list_and_type!$F$1:$K$1, 0)
  )="X",
"Yes",
"No"
)</f>
        <v>No</v>
      </c>
      <c r="G3" s="9">
        <v>0</v>
      </c>
      <c r="I3" s="9"/>
    </row>
    <row r="4" spans="1:12" hidden="1" x14ac:dyDescent="0.2">
      <c r="A4" s="9" t="s">
        <v>11</v>
      </c>
      <c r="B4" s="9" t="s">
        <v>12</v>
      </c>
      <c r="C4" s="9" t="s">
        <v>13</v>
      </c>
      <c r="D4" s="9" t="s">
        <v>14</v>
      </c>
      <c r="E4" s="9" t="s">
        <v>7</v>
      </c>
      <c r="F4" s="9" t="str" cm="1">
        <f t="array" ref="F4">IF(
  INDEX(
    param_list_and_type!$F:$K,
    MATCH(1,
      (param_list_and_type!$A:$A=A4)*
      (param_list_and_type!$B:$B=B4)*
      (param_list_and_type!$C:$C=C4),
    0),
    MATCH(E4, param_list_and_type!$F$1:$K$1, 0)
  )="X",
"Yes",
"No"
)</f>
        <v>No</v>
      </c>
      <c r="G4" s="9">
        <v>0</v>
      </c>
      <c r="I4" s="9"/>
      <c r="K4" s="9">
        <v>0</v>
      </c>
      <c r="L4" s="9" t="s">
        <v>127</v>
      </c>
    </row>
    <row r="5" spans="1:12" x14ac:dyDescent="0.2">
      <c r="A5" s="9" t="s">
        <v>11</v>
      </c>
      <c r="B5" s="9" t="s">
        <v>12</v>
      </c>
      <c r="C5" s="9" t="s">
        <v>13</v>
      </c>
      <c r="D5" s="9" t="s">
        <v>14</v>
      </c>
      <c r="E5" s="9" t="s">
        <v>8</v>
      </c>
      <c r="F5" s="9" t="str" cm="1">
        <f t="array" ref="F5">IF(
  INDEX(
    param_list_and_type!$F:$K,
    MATCH(1,
      (param_list_and_type!$A:$A=A5)*
      (param_list_and_type!$B:$B=B5)*
      (param_list_and_type!$C:$C=C5),
    0),
    MATCH(E5, param_list_and_type!$F$1:$K$1, 0)
  )="X",
"Yes",
"No"
)</f>
        <v>Yes</v>
      </c>
    </row>
    <row r="6" spans="1:12" x14ac:dyDescent="0.2">
      <c r="A6" s="9" t="s">
        <v>11</v>
      </c>
      <c r="B6" s="9" t="s">
        <v>12</v>
      </c>
      <c r="C6" s="9" t="s">
        <v>13</v>
      </c>
      <c r="D6" s="9" t="s">
        <v>14</v>
      </c>
      <c r="E6" s="9" t="s">
        <v>9</v>
      </c>
      <c r="F6" s="9" t="str" cm="1">
        <f t="array" ref="F6">IF(
  INDEX(
    param_list_and_type!$F:$K,
    MATCH(1,
      (param_list_and_type!$A:$A=A6)*
      (param_list_and_type!$B:$B=B6)*
      (param_list_and_type!$C:$C=C6),
    0),
    MATCH(E6, param_list_and_type!$F$1:$K$1, 0)
  )="X",
"Yes",
"No"
)</f>
        <v>Yes</v>
      </c>
    </row>
    <row r="7" spans="1:12" x14ac:dyDescent="0.2">
      <c r="A7" s="9" t="s">
        <v>11</v>
      </c>
      <c r="B7" s="9" t="s">
        <v>12</v>
      </c>
      <c r="C7" s="9" t="s">
        <v>13</v>
      </c>
      <c r="D7" s="9" t="s">
        <v>14</v>
      </c>
      <c r="E7" s="9" t="s">
        <v>10</v>
      </c>
      <c r="F7" s="9" t="str" cm="1">
        <f t="array" ref="F7">IF(
  INDEX(
    param_list_and_type!$F:$K,
    MATCH(1,
      (param_list_and_type!$A:$A=A7)*
      (param_list_and_type!$B:$B=B7)*
      (param_list_and_type!$C:$C=C7),
    0),
    MATCH(E7, param_list_and_type!$F$1:$K$1, 0)
  )="X",
"Yes",
"No"
)</f>
        <v>Yes</v>
      </c>
    </row>
    <row r="8" spans="1:12" x14ac:dyDescent="0.2">
      <c r="A8" s="9" t="s">
        <v>11</v>
      </c>
      <c r="B8" s="9" t="s">
        <v>12</v>
      </c>
      <c r="C8" s="9" t="s">
        <v>17</v>
      </c>
      <c r="D8" s="9" t="s">
        <v>18</v>
      </c>
      <c r="E8" s="9" t="s">
        <v>5</v>
      </c>
      <c r="F8" s="9" t="str" cm="1">
        <f t="array" ref="F8">IF(
  INDEX(
    param_list_and_type!$F:$K,
    MATCH(1,
      (param_list_and_type!$A:$A=A8)*
      (param_list_and_type!$B:$B=B8)*
      (param_list_and_type!$C:$C=C8),
    0),
    MATCH(E8, param_list_and_type!$F$1:$K$1, 0)
  )="X",
"Yes",
"No"
)</f>
        <v>Yes</v>
      </c>
    </row>
    <row r="9" spans="1:12" hidden="1" x14ac:dyDescent="0.2">
      <c r="A9" s="9" t="s">
        <v>11</v>
      </c>
      <c r="B9" s="9" t="s">
        <v>12</v>
      </c>
      <c r="C9" s="9" t="s">
        <v>17</v>
      </c>
      <c r="D9" s="9" t="s">
        <v>18</v>
      </c>
      <c r="E9" s="9" t="s">
        <v>6</v>
      </c>
      <c r="F9" s="9" t="str" cm="1">
        <f t="array" ref="F9">IF(
  INDEX(
    param_list_and_type!$F:$K,
    MATCH(1,
      (param_list_and_type!$A:$A=A9)*
      (param_list_and_type!$B:$B=B9)*
      (param_list_and_type!$C:$C=C9),
    0),
    MATCH(E9, param_list_and_type!$F$1:$K$1, 0)
  )="X",
"Yes",
"No"
)</f>
        <v>No</v>
      </c>
      <c r="G9" s="9">
        <v>0</v>
      </c>
      <c r="I9" s="9"/>
    </row>
    <row r="10" spans="1:12" hidden="1" x14ac:dyDescent="0.2">
      <c r="A10" s="9" t="s">
        <v>11</v>
      </c>
      <c r="B10" s="9" t="s">
        <v>12</v>
      </c>
      <c r="C10" s="9" t="s">
        <v>17</v>
      </c>
      <c r="D10" s="9" t="s">
        <v>18</v>
      </c>
      <c r="E10" s="9" t="s">
        <v>7</v>
      </c>
      <c r="F10" s="9" t="str" cm="1">
        <f t="array" ref="F10">IF(
  INDEX(
    param_list_and_type!$F:$K,
    MATCH(1,
      (param_list_and_type!$A:$A=A10)*
      (param_list_and_type!$B:$B=B10)*
      (param_list_and_type!$C:$C=C10),
    0),
    MATCH(E10, param_list_and_type!$F$1:$K$1, 0)
  )="X",
"Yes",
"No"
)</f>
        <v>No</v>
      </c>
      <c r="G10" s="9">
        <v>0</v>
      </c>
      <c r="I10" s="9"/>
    </row>
    <row r="11" spans="1:12" ht="34" x14ac:dyDescent="0.2">
      <c r="A11" s="9" t="s">
        <v>11</v>
      </c>
      <c r="B11" s="9" t="s">
        <v>12</v>
      </c>
      <c r="C11" s="9" t="s">
        <v>17</v>
      </c>
      <c r="D11" s="9" t="s">
        <v>18</v>
      </c>
      <c r="E11" s="9" t="s">
        <v>8</v>
      </c>
      <c r="F11" s="9" t="str" cm="1">
        <f t="array" ref="F11">IF(
  INDEX(
    param_list_and_type!$F:$K,
    MATCH(1,
      (param_list_and_type!$A:$A=A11)*
      (param_list_and_type!$B:$B=B11)*
      (param_list_and_type!$C:$C=C11),
    0),
    MATCH(E11, param_list_and_type!$F$1:$K$1, 0)
  )="X",
"Yes",
"No"
)</f>
        <v>Yes</v>
      </c>
      <c r="I11" s="13" t="s">
        <v>164</v>
      </c>
      <c r="J11" s="9" t="s">
        <v>165</v>
      </c>
    </row>
    <row r="12" spans="1:12" x14ac:dyDescent="0.2">
      <c r="A12" s="9" t="s">
        <v>11</v>
      </c>
      <c r="B12" s="9" t="s">
        <v>12</v>
      </c>
      <c r="C12" s="9" t="s">
        <v>17</v>
      </c>
      <c r="D12" s="9" t="s">
        <v>18</v>
      </c>
      <c r="E12" s="9" t="s">
        <v>9</v>
      </c>
      <c r="F12" s="9" t="str" cm="1">
        <f t="array" ref="F12">IF(
  INDEX(
    param_list_and_type!$F:$K,
    MATCH(1,
      (param_list_and_type!$A:$A=A12)*
      (param_list_and_type!$B:$B=B12)*
      (param_list_and_type!$C:$C=C12),
    0),
    MATCH(E12, param_list_and_type!$F$1:$K$1, 0)
  )="X",
"Yes",
"No"
)</f>
        <v>Yes</v>
      </c>
    </row>
    <row r="13" spans="1:12" hidden="1" x14ac:dyDescent="0.2">
      <c r="A13" s="9" t="s">
        <v>11</v>
      </c>
      <c r="B13" s="9" t="s">
        <v>12</v>
      </c>
      <c r="C13" s="9" t="s">
        <v>17</v>
      </c>
      <c r="D13" s="9" t="s">
        <v>18</v>
      </c>
      <c r="E13" s="9" t="s">
        <v>10</v>
      </c>
      <c r="F13" s="9" t="str" cm="1">
        <f t="array" ref="F13">IF(
  INDEX(
    param_list_and_type!$F:$K,
    MATCH(1,
      (param_list_and_type!$A:$A=A13)*
      (param_list_and_type!$B:$B=B13)*
      (param_list_and_type!$C:$C=C13),
    0),
    MATCH(E13, param_list_and_type!$F$1:$K$1, 0)
  )="X",
"Yes",
"No"
)</f>
        <v>No</v>
      </c>
      <c r="G13" s="9">
        <v>0</v>
      </c>
      <c r="I13" s="9"/>
    </row>
    <row r="14" spans="1:12" x14ac:dyDescent="0.2">
      <c r="A14" s="9" t="s">
        <v>11</v>
      </c>
      <c r="B14" s="9" t="s">
        <v>12</v>
      </c>
      <c r="C14" s="9" t="s">
        <v>19</v>
      </c>
      <c r="D14" s="9" t="s">
        <v>20</v>
      </c>
      <c r="E14" s="9" t="s">
        <v>5</v>
      </c>
      <c r="F14" s="9" t="str" cm="1">
        <f t="array" ref="F14">IF(
  INDEX(
    param_list_and_type!$F:$K,
    MATCH(1,
      (param_list_and_type!$A:$A=A14)*
      (param_list_and_type!$B:$B=B14)*
      (param_list_and_type!$C:$C=C14),
    0),
    MATCH(E14, param_list_and_type!$F$1:$K$1, 0)
  )="X",
"Yes",
"No"
)</f>
        <v>Yes</v>
      </c>
    </row>
    <row r="15" spans="1:12" hidden="1" x14ac:dyDescent="0.2">
      <c r="A15" s="9" t="s">
        <v>11</v>
      </c>
      <c r="B15" s="9" t="s">
        <v>12</v>
      </c>
      <c r="C15" s="9" t="s">
        <v>19</v>
      </c>
      <c r="D15" s="9" t="s">
        <v>20</v>
      </c>
      <c r="E15" s="9" t="s">
        <v>6</v>
      </c>
      <c r="F15" s="9" t="str" cm="1">
        <f t="array" ref="F15">IF(
  INDEX(
    param_list_and_type!$F:$K,
    MATCH(1,
      (param_list_and_type!$A:$A=A15)*
      (param_list_and_type!$B:$B=B15)*
      (param_list_and_type!$C:$C=C15),
    0),
    MATCH(E15, param_list_and_type!$F$1:$K$1, 0)
  )="X",
"Yes",
"No"
)</f>
        <v>No</v>
      </c>
      <c r="G15" s="9">
        <v>0</v>
      </c>
      <c r="I15" s="9"/>
    </row>
    <row r="16" spans="1:12" hidden="1" x14ac:dyDescent="0.2">
      <c r="A16" s="9" t="s">
        <v>11</v>
      </c>
      <c r="B16" s="9" t="s">
        <v>12</v>
      </c>
      <c r="C16" s="9" t="s">
        <v>19</v>
      </c>
      <c r="D16" s="9" t="s">
        <v>20</v>
      </c>
      <c r="E16" s="9" t="s">
        <v>7</v>
      </c>
      <c r="F16" s="9" t="str" cm="1">
        <f t="array" ref="F16">IF(
  INDEX(
    param_list_and_type!$F:$K,
    MATCH(1,
      (param_list_and_type!$A:$A=A16)*
      (param_list_and_type!$B:$B=B16)*
      (param_list_and_type!$C:$C=C16),
    0),
    MATCH(E16, param_list_and_type!$F$1:$K$1, 0)
  )="X",
"Yes",
"No"
)</f>
        <v>No</v>
      </c>
      <c r="G16" s="9">
        <v>0</v>
      </c>
      <c r="I16" s="9"/>
    </row>
    <row r="17" spans="1:9" x14ac:dyDescent="0.2">
      <c r="A17" s="9" t="s">
        <v>11</v>
      </c>
      <c r="B17" s="9" t="s">
        <v>12</v>
      </c>
      <c r="C17" s="9" t="s">
        <v>19</v>
      </c>
      <c r="D17" s="9" t="s">
        <v>20</v>
      </c>
      <c r="E17" s="9" t="s">
        <v>8</v>
      </c>
      <c r="F17" s="9" t="str" cm="1">
        <f t="array" ref="F17">IF(
  INDEX(
    param_list_and_type!$F:$K,
    MATCH(1,
      (param_list_and_type!$A:$A=A17)*
      (param_list_and_type!$B:$B=B17)*
      (param_list_and_type!$C:$C=C17),
    0),
    MATCH(E17, param_list_and_type!$F$1:$K$1, 0)
  )="X",
"Yes",
"No"
)</f>
        <v>Yes</v>
      </c>
    </row>
    <row r="18" spans="1:9" x14ac:dyDescent="0.2">
      <c r="A18" s="9" t="s">
        <v>11</v>
      </c>
      <c r="B18" s="9" t="s">
        <v>12</v>
      </c>
      <c r="C18" s="9" t="s">
        <v>19</v>
      </c>
      <c r="D18" s="9" t="s">
        <v>20</v>
      </c>
      <c r="E18" s="9" t="s">
        <v>9</v>
      </c>
      <c r="F18" s="9" t="str" cm="1">
        <f t="array" ref="F18">IF(
  INDEX(
    param_list_and_type!$F:$K,
    MATCH(1,
      (param_list_and_type!$A:$A=A18)*
      (param_list_and_type!$B:$B=B18)*
      (param_list_and_type!$C:$C=C18),
    0),
    MATCH(E18, param_list_and_type!$F$1:$K$1, 0)
  )="X",
"Yes",
"No"
)</f>
        <v>Yes</v>
      </c>
    </row>
    <row r="19" spans="1:9" hidden="1" x14ac:dyDescent="0.2">
      <c r="A19" s="9" t="s">
        <v>11</v>
      </c>
      <c r="B19" s="9" t="s">
        <v>12</v>
      </c>
      <c r="C19" s="9" t="s">
        <v>19</v>
      </c>
      <c r="D19" s="9" t="s">
        <v>20</v>
      </c>
      <c r="E19" s="9" t="s">
        <v>10</v>
      </c>
      <c r="F19" s="9" t="str" cm="1">
        <f t="array" ref="F19">IF(
  INDEX(
    param_list_and_type!$F:$K,
    MATCH(1,
      (param_list_and_type!$A:$A=A19)*
      (param_list_and_type!$B:$B=B19)*
      (param_list_and_type!$C:$C=C19),
    0),
    MATCH(E19, param_list_and_type!$F$1:$K$1, 0)
  )="X",
"Yes",
"No"
)</f>
        <v>No</v>
      </c>
      <c r="G19" s="9">
        <v>0</v>
      </c>
      <c r="I19" s="9"/>
    </row>
    <row r="20" spans="1:9" hidden="1" x14ac:dyDescent="0.2">
      <c r="A20" s="9" t="s">
        <v>11</v>
      </c>
      <c r="B20" s="9" t="s">
        <v>21</v>
      </c>
      <c r="C20" s="9" t="s">
        <v>22</v>
      </c>
      <c r="D20" s="9" t="s">
        <v>23</v>
      </c>
      <c r="E20" s="9" t="s">
        <v>5</v>
      </c>
      <c r="F20" s="9" t="str" cm="1">
        <f t="array" ref="F20">IF(
  INDEX(
    param_list_and_type!$F:$K,
    MATCH(1,
      (param_list_and_type!$A:$A=A20)*
      (param_list_and_type!$B:$B=B20)*
      (param_list_and_type!$C:$C=C20),
    0),
    MATCH(E20, param_list_and_type!$F$1:$K$1, 0)
  )="X",
"Yes",
"No"
)</f>
        <v>No</v>
      </c>
      <c r="G20" s="9">
        <v>0</v>
      </c>
      <c r="I20" s="9"/>
    </row>
    <row r="21" spans="1:9" hidden="1" x14ac:dyDescent="0.2">
      <c r="A21" s="9" t="s">
        <v>11</v>
      </c>
      <c r="B21" s="9" t="s">
        <v>21</v>
      </c>
      <c r="C21" s="9" t="s">
        <v>22</v>
      </c>
      <c r="D21" s="9" t="s">
        <v>23</v>
      </c>
      <c r="E21" s="9" t="s">
        <v>6</v>
      </c>
      <c r="F21" s="9" t="str" cm="1">
        <f t="array" ref="F21">IF(
  INDEX(
    param_list_and_type!$F:$K,
    MATCH(1,
      (param_list_and_type!$A:$A=A21)*
      (param_list_and_type!$B:$B=B21)*
      (param_list_and_type!$C:$C=C21),
    0),
    MATCH(E21, param_list_and_type!$F$1:$K$1, 0)
  )="X",
"Yes",
"No"
)</f>
        <v>No</v>
      </c>
      <c r="G21" s="9">
        <v>0</v>
      </c>
      <c r="I21" s="9"/>
    </row>
    <row r="22" spans="1:9" hidden="1" x14ac:dyDescent="0.2">
      <c r="A22" s="9" t="s">
        <v>11</v>
      </c>
      <c r="B22" s="9" t="s">
        <v>21</v>
      </c>
      <c r="C22" s="9" t="s">
        <v>22</v>
      </c>
      <c r="D22" s="9" t="s">
        <v>23</v>
      </c>
      <c r="E22" s="9" t="s">
        <v>7</v>
      </c>
      <c r="F22" s="9" t="str" cm="1">
        <f t="array" ref="F22">IF(
  INDEX(
    param_list_and_type!$F:$K,
    MATCH(1,
      (param_list_and_type!$A:$A=A22)*
      (param_list_and_type!$B:$B=B22)*
      (param_list_and_type!$C:$C=C22),
    0),
    MATCH(E22, param_list_and_type!$F$1:$K$1, 0)
  )="X",
"Yes",
"No"
)</f>
        <v>No</v>
      </c>
      <c r="G22" s="9">
        <v>0</v>
      </c>
      <c r="I22" s="9"/>
    </row>
    <row r="23" spans="1:9" hidden="1" x14ac:dyDescent="0.2">
      <c r="A23" s="9" t="s">
        <v>11</v>
      </c>
      <c r="B23" s="9" t="s">
        <v>21</v>
      </c>
      <c r="C23" s="9" t="s">
        <v>22</v>
      </c>
      <c r="D23" s="9" t="s">
        <v>23</v>
      </c>
      <c r="E23" s="9" t="s">
        <v>8</v>
      </c>
      <c r="F23" s="9" t="str" cm="1">
        <f t="array" ref="F23">IF(
  INDEX(
    param_list_and_type!$F:$K,
    MATCH(1,
      (param_list_and_type!$A:$A=A23)*
      (param_list_and_type!$B:$B=B23)*
      (param_list_and_type!$C:$C=C23),
    0),
    MATCH(E23, param_list_and_type!$F$1:$K$1, 0)
  )="X",
"Yes",
"No"
)</f>
        <v>No</v>
      </c>
      <c r="G23" s="9">
        <v>0</v>
      </c>
      <c r="I23" s="9"/>
    </row>
    <row r="24" spans="1:9" hidden="1" x14ac:dyDescent="0.2">
      <c r="A24" s="9" t="s">
        <v>11</v>
      </c>
      <c r="B24" s="9" t="s">
        <v>21</v>
      </c>
      <c r="C24" s="9" t="s">
        <v>22</v>
      </c>
      <c r="D24" s="9" t="s">
        <v>23</v>
      </c>
      <c r="E24" s="9" t="s">
        <v>9</v>
      </c>
      <c r="F24" s="9" t="str" cm="1">
        <f t="array" ref="F24">IF(
  INDEX(
    param_list_and_type!$F:$K,
    MATCH(1,
      (param_list_and_type!$A:$A=A24)*
      (param_list_and_type!$B:$B=B24)*
      (param_list_and_type!$C:$C=C24),
    0),
    MATCH(E24, param_list_and_type!$F$1:$K$1, 0)
  )="X",
"Yes",
"No"
)</f>
        <v>No</v>
      </c>
      <c r="G24" s="9">
        <v>0</v>
      </c>
      <c r="I24" s="9"/>
    </row>
    <row r="25" spans="1:9" x14ac:dyDescent="0.2">
      <c r="A25" s="9" t="s">
        <v>11</v>
      </c>
      <c r="B25" s="9" t="s">
        <v>21</v>
      </c>
      <c r="C25" s="9" t="s">
        <v>22</v>
      </c>
      <c r="D25" s="9" t="s">
        <v>23</v>
      </c>
      <c r="E25" s="9" t="s">
        <v>10</v>
      </c>
      <c r="F25" s="9" t="str" cm="1">
        <f t="array" ref="F25">IF(
  INDEX(
    param_list_and_type!$F:$K,
    MATCH(1,
      (param_list_and_type!$A:$A=A25)*
      (param_list_and_type!$B:$B=B25)*
      (param_list_and_type!$C:$C=C25),
    0),
    MATCH(E25, param_list_and_type!$F$1:$K$1, 0)
  )="X",
"Yes",
"No"
)</f>
        <v>Yes</v>
      </c>
    </row>
    <row r="26" spans="1:9" x14ac:dyDescent="0.2">
      <c r="A26" s="9" t="s">
        <v>11</v>
      </c>
      <c r="B26" s="9" t="s">
        <v>24</v>
      </c>
      <c r="C26" s="9" t="s">
        <v>24</v>
      </c>
      <c r="D26" s="9" t="s">
        <v>25</v>
      </c>
      <c r="E26" s="9" t="s">
        <v>5</v>
      </c>
      <c r="F26" s="9" t="str" cm="1">
        <f t="array" ref="F26">IF(
  INDEX(
    param_list_and_type!$F:$K,
    MATCH(1,
      (param_list_and_type!$A:$A=A26)*
      (param_list_and_type!$B:$B=B26)*
      (param_list_and_type!$C:$C=C26),
    0),
    MATCH(E26, param_list_and_type!$F$1:$K$1, 0)
  )="X",
"Yes",
"No"
)</f>
        <v>Yes</v>
      </c>
    </row>
    <row r="27" spans="1:9" x14ac:dyDescent="0.2">
      <c r="A27" s="9" t="s">
        <v>11</v>
      </c>
      <c r="B27" s="9" t="s">
        <v>24</v>
      </c>
      <c r="C27" s="9" t="s">
        <v>24</v>
      </c>
      <c r="D27" s="9" t="s">
        <v>25</v>
      </c>
      <c r="E27" s="9" t="s">
        <v>6</v>
      </c>
      <c r="F27" s="9" t="str" cm="1">
        <f t="array" ref="F27">IF(
  INDEX(
    param_list_and_type!$F:$K,
    MATCH(1,
      (param_list_and_type!$A:$A=A27)*
      (param_list_and_type!$B:$B=B27)*
      (param_list_and_type!$C:$C=C27),
    0),
    MATCH(E27, param_list_and_type!$F$1:$K$1, 0)
  )="X",
"Yes",
"No"
)</f>
        <v>Yes</v>
      </c>
    </row>
    <row r="28" spans="1:9" hidden="1" x14ac:dyDescent="0.2">
      <c r="A28" s="9" t="s">
        <v>11</v>
      </c>
      <c r="B28" s="9" t="s">
        <v>24</v>
      </c>
      <c r="C28" s="9" t="s">
        <v>24</v>
      </c>
      <c r="D28" s="9" t="s">
        <v>25</v>
      </c>
      <c r="E28" s="9" t="s">
        <v>7</v>
      </c>
      <c r="F28" s="9" t="str" cm="1">
        <f t="array" ref="F28">IF(
  INDEX(
    param_list_and_type!$F:$K,
    MATCH(1,
      (param_list_and_type!$A:$A=A28)*
      (param_list_and_type!$B:$B=B28)*
      (param_list_and_type!$C:$C=C28),
    0),
    MATCH(E28, param_list_and_type!$F$1:$K$1, 0)
  )="X",
"Yes",
"No"
)</f>
        <v>No</v>
      </c>
      <c r="G28" s="9">
        <v>0</v>
      </c>
      <c r="I28" s="9"/>
    </row>
    <row r="29" spans="1:9" x14ac:dyDescent="0.2">
      <c r="A29" s="9" t="s">
        <v>11</v>
      </c>
      <c r="B29" s="9" t="s">
        <v>24</v>
      </c>
      <c r="C29" s="9" t="s">
        <v>24</v>
      </c>
      <c r="D29" s="9" t="s">
        <v>25</v>
      </c>
      <c r="E29" s="9" t="s">
        <v>8</v>
      </c>
      <c r="F29" s="9" t="str" cm="1">
        <f t="array" ref="F29">IF(
  INDEX(
    param_list_and_type!$F:$K,
    MATCH(1,
      (param_list_and_type!$A:$A=A29)*
      (param_list_and_type!$B:$B=B29)*
      (param_list_and_type!$C:$C=C29),
    0),
    MATCH(E29, param_list_and_type!$F$1:$K$1, 0)
  )="X",
"Yes",
"No"
)</f>
        <v>Yes</v>
      </c>
    </row>
    <row r="30" spans="1:9" x14ac:dyDescent="0.2">
      <c r="A30" s="9" t="s">
        <v>11</v>
      </c>
      <c r="B30" s="9" t="s">
        <v>24</v>
      </c>
      <c r="C30" s="9" t="s">
        <v>24</v>
      </c>
      <c r="D30" s="9" t="s">
        <v>25</v>
      </c>
      <c r="E30" s="9" t="s">
        <v>9</v>
      </c>
      <c r="F30" s="9" t="str" cm="1">
        <f t="array" ref="F30">IF(
  INDEX(
    param_list_and_type!$F:$K,
    MATCH(1,
      (param_list_and_type!$A:$A=A30)*
      (param_list_and_type!$B:$B=B30)*
      (param_list_and_type!$C:$C=C30),
    0),
    MATCH(E30, param_list_and_type!$F$1:$K$1, 0)
  )="X",
"Yes",
"No"
)</f>
        <v>Yes</v>
      </c>
    </row>
    <row r="31" spans="1:9" x14ac:dyDescent="0.2">
      <c r="A31" s="9" t="s">
        <v>11</v>
      </c>
      <c r="B31" s="9" t="s">
        <v>24</v>
      </c>
      <c r="C31" s="9" t="s">
        <v>24</v>
      </c>
      <c r="D31" s="9" t="s">
        <v>25</v>
      </c>
      <c r="E31" s="9" t="s">
        <v>10</v>
      </c>
      <c r="F31" s="9" t="str" cm="1">
        <f t="array" ref="F31">IF(
  INDEX(
    param_list_and_type!$F:$K,
    MATCH(1,
      (param_list_and_type!$A:$A=A31)*
      (param_list_and_type!$B:$B=B31)*
      (param_list_and_type!$C:$C=C31),
    0),
    MATCH(E31, param_list_and_type!$F$1:$K$1, 0)
  )="X",
"Yes",
"No"
)</f>
        <v>Yes</v>
      </c>
    </row>
    <row r="32" spans="1:9" hidden="1" x14ac:dyDescent="0.2">
      <c r="A32" s="9" t="s">
        <v>11</v>
      </c>
      <c r="B32" s="9" t="s">
        <v>27</v>
      </c>
      <c r="C32" s="9" t="s">
        <v>28</v>
      </c>
      <c r="D32" s="9" t="s">
        <v>29</v>
      </c>
      <c r="E32" s="9" t="s">
        <v>5</v>
      </c>
      <c r="F32" s="9" t="str" cm="1">
        <f t="array" ref="F32">IF(
  INDEX(
    param_list_and_type!$F:$K,
    MATCH(1,
      (param_list_and_type!$A:$A=A32)*
      (param_list_and_type!$B:$B=B32)*
      (param_list_and_type!$C:$C=C32),
    0),
    MATCH(E32, param_list_and_type!$F$1:$K$1, 0)
  )="X",
"Yes",
"No"
)</f>
        <v>No</v>
      </c>
      <c r="G32" s="9">
        <v>0</v>
      </c>
      <c r="I32" s="9"/>
    </row>
    <row r="33" spans="1:9" hidden="1" x14ac:dyDescent="0.2">
      <c r="A33" s="9" t="s">
        <v>11</v>
      </c>
      <c r="B33" s="9" t="s">
        <v>27</v>
      </c>
      <c r="C33" s="9" t="s">
        <v>28</v>
      </c>
      <c r="D33" s="9" t="s">
        <v>29</v>
      </c>
      <c r="E33" s="9" t="s">
        <v>6</v>
      </c>
      <c r="F33" s="9" t="str" cm="1">
        <f t="array" ref="F33">IF(
  INDEX(
    param_list_and_type!$F:$K,
    MATCH(1,
      (param_list_and_type!$A:$A=A33)*
      (param_list_and_type!$B:$B=B33)*
      (param_list_and_type!$C:$C=C33),
    0),
    MATCH(E33, param_list_and_type!$F$1:$K$1, 0)
  )="X",
"Yes",
"No"
)</f>
        <v>No</v>
      </c>
      <c r="G33" s="9">
        <v>0</v>
      </c>
      <c r="I33" s="9"/>
    </row>
    <row r="34" spans="1:9" hidden="1" x14ac:dyDescent="0.2">
      <c r="A34" s="9" t="s">
        <v>11</v>
      </c>
      <c r="B34" s="9" t="s">
        <v>27</v>
      </c>
      <c r="C34" s="9" t="s">
        <v>28</v>
      </c>
      <c r="D34" s="9" t="s">
        <v>29</v>
      </c>
      <c r="E34" s="9" t="s">
        <v>7</v>
      </c>
      <c r="F34" s="9" t="str" cm="1">
        <f t="array" ref="F34">IF(
  INDEX(
    param_list_and_type!$F:$K,
    MATCH(1,
      (param_list_and_type!$A:$A=A34)*
      (param_list_and_type!$B:$B=B34)*
      (param_list_and_type!$C:$C=C34),
    0),
    MATCH(E34, param_list_and_type!$F$1:$K$1, 0)
  )="X",
"Yes",
"No"
)</f>
        <v>No</v>
      </c>
      <c r="G34" s="9">
        <v>0</v>
      </c>
      <c r="I34" s="9"/>
    </row>
    <row r="35" spans="1:9" hidden="1" x14ac:dyDescent="0.2">
      <c r="A35" s="9" t="s">
        <v>11</v>
      </c>
      <c r="B35" s="9" t="s">
        <v>27</v>
      </c>
      <c r="C35" s="9" t="s">
        <v>28</v>
      </c>
      <c r="D35" s="9" t="s">
        <v>29</v>
      </c>
      <c r="E35" s="9" t="s">
        <v>8</v>
      </c>
      <c r="F35" s="9" t="str" cm="1">
        <f t="array" ref="F35">IF(
  INDEX(
    param_list_and_type!$F:$K,
    MATCH(1,
      (param_list_and_type!$A:$A=A35)*
      (param_list_and_type!$B:$B=B35)*
      (param_list_and_type!$C:$C=C35),
    0),
    MATCH(E35, param_list_and_type!$F$1:$K$1, 0)
  )="X",
"Yes",
"No"
)</f>
        <v>No</v>
      </c>
      <c r="G35" s="9">
        <v>0</v>
      </c>
      <c r="I35" s="9"/>
    </row>
    <row r="36" spans="1:9" x14ac:dyDescent="0.2">
      <c r="A36" s="9" t="s">
        <v>11</v>
      </c>
      <c r="B36" s="9" t="s">
        <v>27</v>
      </c>
      <c r="C36" s="9" t="s">
        <v>28</v>
      </c>
      <c r="D36" s="9" t="s">
        <v>29</v>
      </c>
      <c r="E36" s="9" t="s">
        <v>9</v>
      </c>
      <c r="F36" s="9" t="str" cm="1">
        <f t="array" ref="F36">IF(
  INDEX(
    param_list_and_type!$F:$K,
    MATCH(1,
      (param_list_and_type!$A:$A=A36)*
      (param_list_and_type!$B:$B=B36)*
      (param_list_and_type!$C:$C=C36),
    0),
    MATCH(E36, param_list_and_type!$F$1:$K$1, 0)
  )="X",
"Yes",
"No"
)</f>
        <v>Yes</v>
      </c>
    </row>
    <row r="37" spans="1:9" hidden="1" x14ac:dyDescent="0.2">
      <c r="A37" s="9" t="s">
        <v>11</v>
      </c>
      <c r="B37" s="9" t="s">
        <v>27</v>
      </c>
      <c r="C37" s="9" t="s">
        <v>28</v>
      </c>
      <c r="D37" s="9" t="s">
        <v>29</v>
      </c>
      <c r="E37" s="9" t="s">
        <v>10</v>
      </c>
      <c r="F37" s="9" t="str" cm="1">
        <f t="array" ref="F37">IF(
  INDEX(
    param_list_and_type!$F:$K,
    MATCH(1,
      (param_list_and_type!$A:$A=A37)*
      (param_list_and_type!$B:$B=B37)*
      (param_list_and_type!$C:$C=C37),
    0),
    MATCH(E37, param_list_and_type!$F$1:$K$1, 0)
  )="X",
"Yes",
"No"
)</f>
        <v>No</v>
      </c>
      <c r="G37" s="9">
        <v>0</v>
      </c>
      <c r="I37" s="9"/>
    </row>
    <row r="38" spans="1:9" hidden="1" x14ac:dyDescent="0.2">
      <c r="A38" s="9" t="s">
        <v>11</v>
      </c>
      <c r="B38" s="9" t="s">
        <v>27</v>
      </c>
      <c r="C38" s="9" t="s">
        <v>30</v>
      </c>
      <c r="D38" s="9" t="s">
        <v>31</v>
      </c>
      <c r="E38" s="9" t="s">
        <v>5</v>
      </c>
      <c r="F38" s="9" t="str" cm="1">
        <f t="array" ref="F38">IF(
  INDEX(
    param_list_and_type!$F:$K,
    MATCH(1,
      (param_list_and_type!$A:$A=A38)*
      (param_list_and_type!$B:$B=B38)*
      (param_list_and_type!$C:$C=C38),
    0),
    MATCH(E38, param_list_and_type!$F$1:$K$1, 0)
  )="X",
"Yes",
"No"
)</f>
        <v>No</v>
      </c>
      <c r="G38" s="9">
        <v>0</v>
      </c>
      <c r="I38" s="9"/>
    </row>
    <row r="39" spans="1:9" hidden="1" x14ac:dyDescent="0.2">
      <c r="A39" s="9" t="s">
        <v>11</v>
      </c>
      <c r="B39" s="9" t="s">
        <v>27</v>
      </c>
      <c r="C39" s="9" t="s">
        <v>30</v>
      </c>
      <c r="D39" s="9" t="s">
        <v>31</v>
      </c>
      <c r="E39" s="9" t="s">
        <v>6</v>
      </c>
      <c r="F39" s="9" t="str" cm="1">
        <f t="array" ref="F39">IF(
  INDEX(
    param_list_and_type!$F:$K,
    MATCH(1,
      (param_list_and_type!$A:$A=A39)*
      (param_list_and_type!$B:$B=B39)*
      (param_list_and_type!$C:$C=C39),
    0),
    MATCH(E39, param_list_and_type!$F$1:$K$1, 0)
  )="X",
"Yes",
"No"
)</f>
        <v>No</v>
      </c>
      <c r="G39" s="9">
        <v>0</v>
      </c>
      <c r="I39" s="9"/>
    </row>
    <row r="40" spans="1:9" hidden="1" x14ac:dyDescent="0.2">
      <c r="A40" s="9" t="s">
        <v>11</v>
      </c>
      <c r="B40" s="9" t="s">
        <v>27</v>
      </c>
      <c r="C40" s="9" t="s">
        <v>30</v>
      </c>
      <c r="D40" s="9" t="s">
        <v>31</v>
      </c>
      <c r="E40" s="9" t="s">
        <v>7</v>
      </c>
      <c r="F40" s="9" t="str" cm="1">
        <f t="array" ref="F40">IF(
  INDEX(
    param_list_and_type!$F:$K,
    MATCH(1,
      (param_list_and_type!$A:$A=A40)*
      (param_list_and_type!$B:$B=B40)*
      (param_list_and_type!$C:$C=C40),
    0),
    MATCH(E40, param_list_and_type!$F$1:$K$1, 0)
  )="X",
"Yes",
"No"
)</f>
        <v>No</v>
      </c>
      <c r="G40" s="9">
        <v>0</v>
      </c>
      <c r="I40" s="9"/>
    </row>
    <row r="41" spans="1:9" hidden="1" x14ac:dyDescent="0.2">
      <c r="A41" s="9" t="s">
        <v>11</v>
      </c>
      <c r="B41" s="9" t="s">
        <v>27</v>
      </c>
      <c r="C41" s="9" t="s">
        <v>30</v>
      </c>
      <c r="D41" s="9" t="s">
        <v>31</v>
      </c>
      <c r="E41" s="9" t="s">
        <v>8</v>
      </c>
      <c r="F41" s="9" t="str" cm="1">
        <f t="array" ref="F41">IF(
  INDEX(
    param_list_and_type!$F:$K,
    MATCH(1,
      (param_list_and_type!$A:$A=A41)*
      (param_list_and_type!$B:$B=B41)*
      (param_list_and_type!$C:$C=C41),
    0),
    MATCH(E41, param_list_and_type!$F$1:$K$1, 0)
  )="X",
"Yes",
"No"
)</f>
        <v>No</v>
      </c>
      <c r="G41" s="9">
        <v>0</v>
      </c>
      <c r="I41" s="9"/>
    </row>
    <row r="42" spans="1:9" x14ac:dyDescent="0.2">
      <c r="A42" s="9" t="s">
        <v>11</v>
      </c>
      <c r="B42" s="9" t="s">
        <v>27</v>
      </c>
      <c r="C42" s="9" t="s">
        <v>30</v>
      </c>
      <c r="D42" s="9" t="s">
        <v>31</v>
      </c>
      <c r="E42" s="9" t="s">
        <v>9</v>
      </c>
      <c r="F42" s="9" t="str" cm="1">
        <f t="array" ref="F42">IF(
  INDEX(
    param_list_and_type!$F:$K,
    MATCH(1,
      (param_list_and_type!$A:$A=A42)*
      (param_list_and_type!$B:$B=B42)*
      (param_list_and_type!$C:$C=C42),
    0),
    MATCH(E42, param_list_and_type!$F$1:$K$1, 0)
  )="X",
"Yes",
"No"
)</f>
        <v>Yes</v>
      </c>
    </row>
    <row r="43" spans="1:9" hidden="1" x14ac:dyDescent="0.2">
      <c r="A43" s="9" t="s">
        <v>11</v>
      </c>
      <c r="B43" s="9" t="s">
        <v>27</v>
      </c>
      <c r="C43" s="9" t="s">
        <v>30</v>
      </c>
      <c r="D43" s="9" t="s">
        <v>31</v>
      </c>
      <c r="E43" s="9" t="s">
        <v>10</v>
      </c>
      <c r="F43" s="9" t="str" cm="1">
        <f t="array" ref="F43">IF(
  INDEX(
    param_list_and_type!$F:$K,
    MATCH(1,
      (param_list_and_type!$A:$A=A43)*
      (param_list_and_type!$B:$B=B43)*
      (param_list_and_type!$C:$C=C43),
    0),
    MATCH(E43, param_list_and_type!$F$1:$K$1, 0)
  )="X",
"Yes",
"No"
)</f>
        <v>No</v>
      </c>
      <c r="G43" s="9">
        <v>0</v>
      </c>
      <c r="I43" s="9"/>
    </row>
    <row r="44" spans="1:9" hidden="1" x14ac:dyDescent="0.2">
      <c r="A44" s="9" t="s">
        <v>11</v>
      </c>
      <c r="B44" s="9" t="s">
        <v>32</v>
      </c>
      <c r="C44" s="9" t="s">
        <v>33</v>
      </c>
      <c r="D44" s="9" t="s">
        <v>34</v>
      </c>
      <c r="E44" s="9" t="s">
        <v>5</v>
      </c>
      <c r="F44" s="9" t="str" cm="1">
        <f t="array" ref="F44">IF(
  INDEX(
    param_list_and_type!$F:$K,
    MATCH(1,
      (param_list_and_type!$A:$A=A44)*
      (param_list_and_type!$B:$B=B44)*
      (param_list_and_type!$C:$C=C44),
    0),
    MATCH(E44, param_list_and_type!$F$1:$K$1, 0)
  )="X",
"Yes",
"No"
)</f>
        <v>No</v>
      </c>
      <c r="G44" s="9">
        <v>0</v>
      </c>
      <c r="I44" s="9"/>
    </row>
    <row r="45" spans="1:9" hidden="1" x14ac:dyDescent="0.2">
      <c r="A45" s="9" t="s">
        <v>11</v>
      </c>
      <c r="B45" s="9" t="s">
        <v>32</v>
      </c>
      <c r="C45" s="9" t="s">
        <v>33</v>
      </c>
      <c r="D45" s="9" t="s">
        <v>34</v>
      </c>
      <c r="E45" s="9" t="s">
        <v>6</v>
      </c>
      <c r="F45" s="9" t="str" cm="1">
        <f t="array" ref="F45">IF(
  INDEX(
    param_list_and_type!$F:$K,
    MATCH(1,
      (param_list_and_type!$A:$A=A45)*
      (param_list_and_type!$B:$B=B45)*
      (param_list_and_type!$C:$C=C45),
    0),
    MATCH(E45, param_list_and_type!$F$1:$K$1, 0)
  )="X",
"Yes",
"No"
)</f>
        <v>No</v>
      </c>
      <c r="G45" s="9">
        <v>0</v>
      </c>
      <c r="I45" s="9"/>
    </row>
    <row r="46" spans="1:9" hidden="1" x14ac:dyDescent="0.2">
      <c r="A46" s="9" t="s">
        <v>11</v>
      </c>
      <c r="B46" s="9" t="s">
        <v>32</v>
      </c>
      <c r="C46" s="9" t="s">
        <v>33</v>
      </c>
      <c r="D46" s="9" t="s">
        <v>34</v>
      </c>
      <c r="E46" s="9" t="s">
        <v>7</v>
      </c>
      <c r="F46" s="9" t="str" cm="1">
        <f t="array" ref="F46">IF(
  INDEX(
    param_list_and_type!$F:$K,
    MATCH(1,
      (param_list_and_type!$A:$A=A46)*
      (param_list_and_type!$B:$B=B46)*
      (param_list_and_type!$C:$C=C46),
    0),
    MATCH(E46, param_list_and_type!$F$1:$K$1, 0)
  )="X",
"Yes",
"No"
)</f>
        <v>No</v>
      </c>
      <c r="G46" s="9">
        <v>0</v>
      </c>
      <c r="I46" s="9"/>
    </row>
    <row r="47" spans="1:9" hidden="1" x14ac:dyDescent="0.2">
      <c r="A47" s="9" t="s">
        <v>11</v>
      </c>
      <c r="B47" s="9" t="s">
        <v>32</v>
      </c>
      <c r="C47" s="9" t="s">
        <v>33</v>
      </c>
      <c r="D47" s="9" t="s">
        <v>34</v>
      </c>
      <c r="E47" s="9" t="s">
        <v>8</v>
      </c>
      <c r="F47" s="9" t="str" cm="1">
        <f t="array" ref="F47">IF(
  INDEX(
    param_list_and_type!$F:$K,
    MATCH(1,
      (param_list_and_type!$A:$A=A47)*
      (param_list_and_type!$B:$B=B47)*
      (param_list_and_type!$C:$C=C47),
    0),
    MATCH(E47, param_list_and_type!$F$1:$K$1, 0)
  )="X",
"Yes",
"No"
)</f>
        <v>No</v>
      </c>
      <c r="G47" s="9">
        <v>0</v>
      </c>
      <c r="I47" s="9"/>
    </row>
    <row r="48" spans="1:9" hidden="1" x14ac:dyDescent="0.2">
      <c r="A48" s="9" t="s">
        <v>11</v>
      </c>
      <c r="B48" s="9" t="s">
        <v>32</v>
      </c>
      <c r="C48" s="9" t="s">
        <v>33</v>
      </c>
      <c r="D48" s="9" t="s">
        <v>34</v>
      </c>
      <c r="E48" s="9" t="s">
        <v>9</v>
      </c>
      <c r="F48" s="9" t="str" cm="1">
        <f t="array" ref="F48">IF(
  INDEX(
    param_list_and_type!$F:$K,
    MATCH(1,
      (param_list_and_type!$A:$A=A48)*
      (param_list_and_type!$B:$B=B48)*
      (param_list_and_type!$C:$C=C48),
    0),
    MATCH(E48, param_list_and_type!$F$1:$K$1, 0)
  )="X",
"Yes",
"No"
)</f>
        <v>No</v>
      </c>
      <c r="G48" s="9">
        <v>0</v>
      </c>
      <c r="I48" s="9"/>
    </row>
    <row r="49" spans="1:10" x14ac:dyDescent="0.2">
      <c r="A49" s="9" t="s">
        <v>11</v>
      </c>
      <c r="B49" s="9" t="s">
        <v>32</v>
      </c>
      <c r="C49" s="9" t="s">
        <v>33</v>
      </c>
      <c r="D49" s="9" t="s">
        <v>34</v>
      </c>
      <c r="E49" s="9" t="s">
        <v>10</v>
      </c>
      <c r="F49" s="9" t="str" cm="1">
        <f t="array" ref="F49">IF(
  INDEX(
    param_list_and_type!$F:$K,
    MATCH(1,
      (param_list_and_type!$A:$A=A49)*
      (param_list_and_type!$B:$B=B49)*
      (param_list_and_type!$C:$C=C49),
    0),
    MATCH(E49, param_list_and_type!$F$1:$K$1, 0)
  )="X",
"Yes",
"No"
)</f>
        <v>Yes</v>
      </c>
    </row>
    <row r="50" spans="1:10" hidden="1" x14ac:dyDescent="0.2">
      <c r="A50" s="9" t="s">
        <v>11</v>
      </c>
      <c r="B50" s="9" t="s">
        <v>32</v>
      </c>
      <c r="C50" s="9" t="s">
        <v>35</v>
      </c>
      <c r="D50" s="9" t="s">
        <v>36</v>
      </c>
      <c r="E50" s="9" t="s">
        <v>5</v>
      </c>
      <c r="F50" s="9" t="str" cm="1">
        <f t="array" ref="F50">IF(
  INDEX(
    param_list_and_type!$F:$K,
    MATCH(1,
      (param_list_and_type!$A:$A=A50)*
      (param_list_and_type!$B:$B=B50)*
      (param_list_and_type!$C:$C=C50),
    0),
    MATCH(E50, param_list_and_type!$F$1:$K$1, 0)
  )="X",
"Yes",
"No"
)</f>
        <v>No</v>
      </c>
      <c r="G50" s="9">
        <v>0</v>
      </c>
      <c r="I50" s="9"/>
    </row>
    <row r="51" spans="1:10" hidden="1" x14ac:dyDescent="0.2">
      <c r="A51" s="9" t="s">
        <v>11</v>
      </c>
      <c r="B51" s="9" t="s">
        <v>32</v>
      </c>
      <c r="C51" s="9" t="s">
        <v>35</v>
      </c>
      <c r="D51" s="9" t="s">
        <v>36</v>
      </c>
      <c r="E51" s="9" t="s">
        <v>6</v>
      </c>
      <c r="F51" s="9" t="str" cm="1">
        <f t="array" ref="F51">IF(
  INDEX(
    param_list_and_type!$F:$K,
    MATCH(1,
      (param_list_and_type!$A:$A=A51)*
      (param_list_and_type!$B:$B=B51)*
      (param_list_and_type!$C:$C=C51),
    0),
    MATCH(E51, param_list_and_type!$F$1:$K$1, 0)
  )="X",
"Yes",
"No"
)</f>
        <v>No</v>
      </c>
      <c r="G51" s="9">
        <v>0</v>
      </c>
      <c r="I51" s="9"/>
    </row>
    <row r="52" spans="1:10" hidden="1" x14ac:dyDescent="0.2">
      <c r="A52" s="9" t="s">
        <v>11</v>
      </c>
      <c r="B52" s="9" t="s">
        <v>32</v>
      </c>
      <c r="C52" s="9" t="s">
        <v>35</v>
      </c>
      <c r="D52" s="9" t="s">
        <v>36</v>
      </c>
      <c r="E52" s="9" t="s">
        <v>7</v>
      </c>
      <c r="F52" s="9" t="str" cm="1">
        <f t="array" ref="F52">IF(
  INDEX(
    param_list_and_type!$F:$K,
    MATCH(1,
      (param_list_and_type!$A:$A=A52)*
      (param_list_and_type!$B:$B=B52)*
      (param_list_and_type!$C:$C=C52),
    0),
    MATCH(E52, param_list_and_type!$F$1:$K$1, 0)
  )="X",
"Yes",
"No"
)</f>
        <v>No</v>
      </c>
      <c r="G52" s="9">
        <v>0</v>
      </c>
      <c r="I52" s="9"/>
    </row>
    <row r="53" spans="1:10" hidden="1" x14ac:dyDescent="0.2">
      <c r="A53" s="9" t="s">
        <v>11</v>
      </c>
      <c r="B53" s="9" t="s">
        <v>32</v>
      </c>
      <c r="C53" s="9" t="s">
        <v>35</v>
      </c>
      <c r="D53" s="9" t="s">
        <v>36</v>
      </c>
      <c r="E53" s="9" t="s">
        <v>8</v>
      </c>
      <c r="F53" s="9" t="str" cm="1">
        <f t="array" ref="F53">IF(
  INDEX(
    param_list_and_type!$F:$K,
    MATCH(1,
      (param_list_and_type!$A:$A=A53)*
      (param_list_and_type!$B:$B=B53)*
      (param_list_and_type!$C:$C=C53),
    0),
    MATCH(E53, param_list_and_type!$F$1:$K$1, 0)
  )="X",
"Yes",
"No"
)</f>
        <v>No</v>
      </c>
      <c r="G53" s="9">
        <v>0</v>
      </c>
      <c r="I53" s="9"/>
    </row>
    <row r="54" spans="1:10" hidden="1" x14ac:dyDescent="0.2">
      <c r="A54" s="9" t="s">
        <v>11</v>
      </c>
      <c r="B54" s="9" t="s">
        <v>32</v>
      </c>
      <c r="C54" s="9" t="s">
        <v>35</v>
      </c>
      <c r="D54" s="9" t="s">
        <v>36</v>
      </c>
      <c r="E54" s="9" t="s">
        <v>9</v>
      </c>
      <c r="F54" s="9" t="str" cm="1">
        <f t="array" ref="F54">IF(
  INDEX(
    param_list_and_type!$F:$K,
    MATCH(1,
      (param_list_and_type!$A:$A=A54)*
      (param_list_and_type!$B:$B=B54)*
      (param_list_and_type!$C:$C=C54),
    0),
    MATCH(E54, param_list_and_type!$F$1:$K$1, 0)
  )="X",
"Yes",
"No"
)</f>
        <v>No</v>
      </c>
      <c r="G54" s="9">
        <v>0</v>
      </c>
      <c r="I54" s="9"/>
    </row>
    <row r="55" spans="1:10" ht="102" x14ac:dyDescent="0.2">
      <c r="A55" s="9" t="s">
        <v>11</v>
      </c>
      <c r="B55" s="9" t="s">
        <v>32</v>
      </c>
      <c r="C55" s="9" t="s">
        <v>35</v>
      </c>
      <c r="D55" s="9" t="s">
        <v>36</v>
      </c>
      <c r="E55" s="9" t="s">
        <v>10</v>
      </c>
      <c r="F55" s="9" t="str" cm="1">
        <f t="array" ref="F55">IF(
  INDEX(
    param_list_and_type!$F:$K,
    MATCH(1,
      (param_list_and_type!$A:$A=A55)*
      (param_list_and_type!$B:$B=B55)*
      (param_list_and_type!$C:$C=C55),
    0),
    MATCH(E55, param_list_and_type!$F$1:$K$1, 0)
  )="X",
"Yes",
"No"
)</f>
        <v>Yes</v>
      </c>
      <c r="I55" s="13" t="s">
        <v>161</v>
      </c>
      <c r="J55" s="15" t="s">
        <v>162</v>
      </c>
    </row>
    <row r="56" spans="1:10" s="10" customFormat="1" hidden="1" x14ac:dyDescent="0.2">
      <c r="A56" s="10" t="s">
        <v>11</v>
      </c>
      <c r="B56" s="10" t="s">
        <v>32</v>
      </c>
      <c r="C56" s="10" t="s">
        <v>37</v>
      </c>
      <c r="D56" s="10" t="s">
        <v>38</v>
      </c>
      <c r="E56" s="10" t="s">
        <v>5</v>
      </c>
      <c r="F56" s="9" t="str" cm="1">
        <f t="array" ref="F56">IF(
  INDEX(
    param_list_and_type!$F:$K,
    MATCH(1,
      (param_list_and_type!$A:$A=A56)*
      (param_list_and_type!$B:$B=B56)*
      (param_list_and_type!$C:$C=C56),
    0),
    MATCH(E56, param_list_and_type!$F$1:$K$1, 0)
  )="X",
"Yes",
"No"
)</f>
        <v>No</v>
      </c>
      <c r="G56" s="9">
        <v>0</v>
      </c>
      <c r="H56" s="9"/>
      <c r="I56" s="9"/>
      <c r="J56" s="9"/>
    </row>
    <row r="57" spans="1:10" s="10" customFormat="1" hidden="1" x14ac:dyDescent="0.2">
      <c r="A57" s="10" t="s">
        <v>11</v>
      </c>
      <c r="B57" s="10" t="s">
        <v>32</v>
      </c>
      <c r="C57" s="10" t="s">
        <v>37</v>
      </c>
      <c r="D57" s="10" t="s">
        <v>38</v>
      </c>
      <c r="E57" s="10" t="s">
        <v>6</v>
      </c>
      <c r="F57" s="9" t="str" cm="1">
        <f t="array" ref="F57">IF(
  INDEX(
    param_list_and_type!$F:$K,
    MATCH(1,
      (param_list_and_type!$A:$A=A57)*
      (param_list_and_type!$B:$B=B57)*
      (param_list_and_type!$C:$C=C57),
    0),
    MATCH(E57, param_list_and_type!$F$1:$K$1, 0)
  )="X",
"Yes",
"No"
)</f>
        <v>No</v>
      </c>
      <c r="G57" s="9">
        <v>0</v>
      </c>
      <c r="H57" s="9"/>
      <c r="I57" s="9"/>
      <c r="J57" s="9"/>
    </row>
    <row r="58" spans="1:10" s="10" customFormat="1" hidden="1" x14ac:dyDescent="0.2">
      <c r="A58" s="10" t="s">
        <v>11</v>
      </c>
      <c r="B58" s="10" t="s">
        <v>32</v>
      </c>
      <c r="C58" s="10" t="s">
        <v>37</v>
      </c>
      <c r="D58" s="10" t="s">
        <v>38</v>
      </c>
      <c r="E58" s="10" t="s">
        <v>7</v>
      </c>
      <c r="F58" s="9" t="str" cm="1">
        <f t="array" ref="F58">IF(
  INDEX(
    param_list_and_type!$F:$K,
    MATCH(1,
      (param_list_and_type!$A:$A=A58)*
      (param_list_and_type!$B:$B=B58)*
      (param_list_and_type!$C:$C=C58),
    0),
    MATCH(E58, param_list_and_type!$F$1:$K$1, 0)
  )="X",
"Yes",
"No"
)</f>
        <v>No</v>
      </c>
      <c r="G58" s="9">
        <v>0</v>
      </c>
      <c r="H58" s="9"/>
      <c r="I58" s="9"/>
      <c r="J58" s="9"/>
    </row>
    <row r="59" spans="1:10" s="10" customFormat="1" hidden="1" x14ac:dyDescent="0.2">
      <c r="A59" s="10" t="s">
        <v>11</v>
      </c>
      <c r="B59" s="10" t="s">
        <v>32</v>
      </c>
      <c r="C59" s="10" t="s">
        <v>37</v>
      </c>
      <c r="D59" s="10" t="s">
        <v>38</v>
      </c>
      <c r="E59" s="10" t="s">
        <v>8</v>
      </c>
      <c r="F59" s="9" t="str" cm="1">
        <f t="array" ref="F59">IF(
  INDEX(
    param_list_and_type!$F:$K,
    MATCH(1,
      (param_list_and_type!$A:$A=A59)*
      (param_list_and_type!$B:$B=B59)*
      (param_list_and_type!$C:$C=C59),
    0),
    MATCH(E59, param_list_and_type!$F$1:$K$1, 0)
  )="X",
"Yes",
"No"
)</f>
        <v>No</v>
      </c>
      <c r="G59" s="9">
        <v>0</v>
      </c>
      <c r="H59" s="9"/>
      <c r="I59" s="9"/>
      <c r="J59" s="9"/>
    </row>
    <row r="60" spans="1:10" s="10" customFormat="1" hidden="1" x14ac:dyDescent="0.2">
      <c r="A60" s="10" t="s">
        <v>11</v>
      </c>
      <c r="B60" s="10" t="s">
        <v>32</v>
      </c>
      <c r="C60" s="10" t="s">
        <v>37</v>
      </c>
      <c r="D60" s="10" t="s">
        <v>38</v>
      </c>
      <c r="E60" s="10" t="s">
        <v>9</v>
      </c>
      <c r="F60" s="9" t="str" cm="1">
        <f t="array" ref="F60">IF(
  INDEX(
    param_list_and_type!$F:$K,
    MATCH(1,
      (param_list_and_type!$A:$A=A60)*
      (param_list_and_type!$B:$B=B60)*
      (param_list_and_type!$C:$C=C60),
    0),
    MATCH(E60, param_list_and_type!$F$1:$K$1, 0)
  )="X",
"Yes",
"No"
)</f>
        <v>No</v>
      </c>
      <c r="G60" s="9">
        <v>0</v>
      </c>
      <c r="H60" s="9"/>
      <c r="I60" s="9"/>
      <c r="J60" s="9"/>
    </row>
    <row r="61" spans="1:10" s="10" customFormat="1" ht="51" x14ac:dyDescent="0.2">
      <c r="A61" s="10" t="s">
        <v>11</v>
      </c>
      <c r="B61" s="10" t="s">
        <v>32</v>
      </c>
      <c r="C61" s="10" t="s">
        <v>37</v>
      </c>
      <c r="D61" s="10" t="s">
        <v>38</v>
      </c>
      <c r="E61" s="10" t="s">
        <v>10</v>
      </c>
      <c r="F61" s="9" t="str" cm="1">
        <f t="array" ref="F61">IF(
  INDEX(
    param_list_and_type!$F:$K,
    MATCH(1,
      (param_list_and_type!$A:$A=A61)*
      (param_list_and_type!$B:$B=B61)*
      (param_list_and_type!$C:$C=C61),
    0),
    MATCH(E61, param_list_and_type!$F$1:$K$1, 0)
  )="X",
"Yes",
"No"
)</f>
        <v>Yes</v>
      </c>
      <c r="G61" s="10">
        <v>0.79</v>
      </c>
      <c r="I61" s="14" t="s">
        <v>163</v>
      </c>
      <c r="J61" s="10" t="s">
        <v>159</v>
      </c>
    </row>
    <row r="62" spans="1:10" hidden="1" x14ac:dyDescent="0.2">
      <c r="A62" s="9" t="s">
        <v>11</v>
      </c>
      <c r="B62" s="9" t="s">
        <v>32</v>
      </c>
      <c r="C62" s="9" t="s">
        <v>39</v>
      </c>
      <c r="D62" s="9" t="s">
        <v>40</v>
      </c>
      <c r="E62" s="9" t="s">
        <v>5</v>
      </c>
      <c r="F62" s="9" t="str" cm="1">
        <f t="array" ref="F62">IF(
  INDEX(
    param_list_and_type!$F:$K,
    MATCH(1,
      (param_list_and_type!$A:$A=A62)*
      (param_list_and_type!$B:$B=B62)*
      (param_list_and_type!$C:$C=C62),
    0),
    MATCH(E62, param_list_and_type!$F$1:$K$1, 0)
  )="X",
"Yes",
"No"
)</f>
        <v>No</v>
      </c>
      <c r="G62" s="9">
        <v>0</v>
      </c>
      <c r="I62" s="9"/>
    </row>
    <row r="63" spans="1:10" hidden="1" x14ac:dyDescent="0.2">
      <c r="A63" s="9" t="s">
        <v>11</v>
      </c>
      <c r="B63" s="9" t="s">
        <v>32</v>
      </c>
      <c r="C63" s="9" t="s">
        <v>39</v>
      </c>
      <c r="D63" s="9" t="s">
        <v>40</v>
      </c>
      <c r="E63" s="9" t="s">
        <v>6</v>
      </c>
      <c r="F63" s="9" t="str" cm="1">
        <f t="array" ref="F63">IF(
  INDEX(
    param_list_and_type!$F:$K,
    MATCH(1,
      (param_list_and_type!$A:$A=A63)*
      (param_list_and_type!$B:$B=B63)*
      (param_list_and_type!$C:$C=C63),
    0),
    MATCH(E63, param_list_and_type!$F$1:$K$1, 0)
  )="X",
"Yes",
"No"
)</f>
        <v>No</v>
      </c>
      <c r="G63" s="9">
        <v>0</v>
      </c>
      <c r="I63" s="9"/>
    </row>
    <row r="64" spans="1:10" hidden="1" x14ac:dyDescent="0.2">
      <c r="A64" s="9" t="s">
        <v>11</v>
      </c>
      <c r="B64" s="9" t="s">
        <v>32</v>
      </c>
      <c r="C64" s="9" t="s">
        <v>39</v>
      </c>
      <c r="D64" s="9" t="s">
        <v>40</v>
      </c>
      <c r="E64" s="9" t="s">
        <v>7</v>
      </c>
      <c r="F64" s="9" t="str" cm="1">
        <f t="array" ref="F64">IF(
  INDEX(
    param_list_and_type!$F:$K,
    MATCH(1,
      (param_list_and_type!$A:$A=A64)*
      (param_list_and_type!$B:$B=B64)*
      (param_list_and_type!$C:$C=C64),
    0),
    MATCH(E64, param_list_and_type!$F$1:$K$1, 0)
  )="X",
"Yes",
"No"
)</f>
        <v>No</v>
      </c>
      <c r="G64" s="9">
        <v>0</v>
      </c>
      <c r="I64" s="9"/>
    </row>
    <row r="65" spans="1:9" hidden="1" x14ac:dyDescent="0.2">
      <c r="A65" s="9" t="s">
        <v>11</v>
      </c>
      <c r="B65" s="9" t="s">
        <v>32</v>
      </c>
      <c r="C65" s="9" t="s">
        <v>39</v>
      </c>
      <c r="D65" s="9" t="s">
        <v>40</v>
      </c>
      <c r="E65" s="9" t="s">
        <v>8</v>
      </c>
      <c r="F65" s="9" t="str" cm="1">
        <f t="array" ref="F65">IF(
  INDEX(
    param_list_and_type!$F:$K,
    MATCH(1,
      (param_list_and_type!$A:$A=A65)*
      (param_list_and_type!$B:$B=B65)*
      (param_list_and_type!$C:$C=C65),
    0),
    MATCH(E65, param_list_and_type!$F$1:$K$1, 0)
  )="X",
"Yes",
"No"
)</f>
        <v>No</v>
      </c>
      <c r="G65" s="9">
        <v>0</v>
      </c>
      <c r="I65" s="9"/>
    </row>
    <row r="66" spans="1:9" hidden="1" x14ac:dyDescent="0.2">
      <c r="A66" s="9" t="s">
        <v>11</v>
      </c>
      <c r="B66" s="9" t="s">
        <v>32</v>
      </c>
      <c r="C66" s="9" t="s">
        <v>39</v>
      </c>
      <c r="D66" s="9" t="s">
        <v>40</v>
      </c>
      <c r="E66" s="9" t="s">
        <v>9</v>
      </c>
      <c r="F66" s="9" t="str" cm="1">
        <f t="array" ref="F66">IF(
  INDEX(
    param_list_and_type!$F:$K,
    MATCH(1,
      (param_list_and_type!$A:$A=A66)*
      (param_list_and_type!$B:$B=B66)*
      (param_list_and_type!$C:$C=C66),
    0),
    MATCH(E66, param_list_and_type!$F$1:$K$1, 0)
  )="X",
"Yes",
"No"
)</f>
        <v>No</v>
      </c>
      <c r="G66" s="9">
        <v>0</v>
      </c>
      <c r="I66" s="9"/>
    </row>
    <row r="67" spans="1:9" x14ac:dyDescent="0.2">
      <c r="A67" s="9" t="s">
        <v>11</v>
      </c>
      <c r="B67" s="9" t="s">
        <v>32</v>
      </c>
      <c r="C67" s="9" t="s">
        <v>39</v>
      </c>
      <c r="D67" s="9" t="s">
        <v>40</v>
      </c>
      <c r="E67" s="9" t="s">
        <v>10</v>
      </c>
      <c r="F67" s="9" t="str" cm="1">
        <f t="array" ref="F67">IF(
  INDEX(
    param_list_and_type!$F:$K,
    MATCH(1,
      (param_list_and_type!$A:$A=A67)*
      (param_list_and_type!$B:$B=B67)*
      (param_list_and_type!$C:$C=C67),
    0),
    MATCH(E67, param_list_and_type!$F$1:$K$1, 0)
  )="X",
"Yes",
"No"
)</f>
        <v>Yes</v>
      </c>
    </row>
    <row r="68" spans="1:9" hidden="1" x14ac:dyDescent="0.2">
      <c r="A68" s="9" t="s">
        <v>11</v>
      </c>
      <c r="B68" s="9" t="s">
        <v>41</v>
      </c>
      <c r="C68" s="9" t="s">
        <v>42</v>
      </c>
      <c r="D68" s="9" t="s">
        <v>43</v>
      </c>
      <c r="E68" s="9" t="s">
        <v>5</v>
      </c>
      <c r="F68" s="9" t="str" cm="1">
        <f t="array" ref="F68">IF(
  INDEX(
    param_list_and_type!$F:$K,
    MATCH(1,
      (param_list_and_type!$A:$A=A68)*
      (param_list_and_type!$B:$B=B68)*
      (param_list_and_type!$C:$C=C68),
    0),
    MATCH(E68, param_list_and_type!$F$1:$K$1, 0)
  )="X",
"Yes",
"No"
)</f>
        <v>No</v>
      </c>
      <c r="G68" s="9">
        <v>0</v>
      </c>
      <c r="I68" s="9"/>
    </row>
    <row r="69" spans="1:9" hidden="1" x14ac:dyDescent="0.2">
      <c r="A69" s="9" t="s">
        <v>11</v>
      </c>
      <c r="B69" s="9" t="s">
        <v>41</v>
      </c>
      <c r="C69" s="9" t="s">
        <v>42</v>
      </c>
      <c r="D69" s="9" t="s">
        <v>43</v>
      </c>
      <c r="E69" s="9" t="s">
        <v>6</v>
      </c>
      <c r="F69" s="9" t="str" cm="1">
        <f t="array" ref="F69">IF(
  INDEX(
    param_list_and_type!$F:$K,
    MATCH(1,
      (param_list_and_type!$A:$A=A69)*
      (param_list_and_type!$B:$B=B69)*
      (param_list_and_type!$C:$C=C69),
    0),
    MATCH(E69, param_list_and_type!$F$1:$K$1, 0)
  )="X",
"Yes",
"No"
)</f>
        <v>No</v>
      </c>
      <c r="G69" s="9">
        <v>0</v>
      </c>
      <c r="I69" s="9"/>
    </row>
    <row r="70" spans="1:9" hidden="1" x14ac:dyDescent="0.2">
      <c r="A70" s="9" t="s">
        <v>11</v>
      </c>
      <c r="B70" s="9" t="s">
        <v>41</v>
      </c>
      <c r="C70" s="9" t="s">
        <v>42</v>
      </c>
      <c r="D70" s="9" t="s">
        <v>43</v>
      </c>
      <c r="E70" s="11" t="s">
        <v>7</v>
      </c>
      <c r="F70" s="9" t="str" cm="1">
        <f t="array" ref="F70">IF(
  INDEX(
    param_list_and_type!$F:$K,
    MATCH(1,
      (param_list_and_type!$A:$A=A70)*
      (param_list_and_type!$B:$B=B70)*
      (param_list_and_type!$C:$C=C70),
    0),
    MATCH(E70, param_list_and_type!$F$1:$K$1, 0)
  )="X",
"Yes",
"No"
)</f>
        <v>No</v>
      </c>
      <c r="G70" s="9">
        <v>0</v>
      </c>
      <c r="I70" s="9"/>
    </row>
    <row r="71" spans="1:9" hidden="1" x14ac:dyDescent="0.2">
      <c r="A71" s="9" t="s">
        <v>11</v>
      </c>
      <c r="B71" s="9" t="s">
        <v>41</v>
      </c>
      <c r="C71" s="9" t="s">
        <v>42</v>
      </c>
      <c r="D71" s="9" t="s">
        <v>43</v>
      </c>
      <c r="E71" s="11" t="s">
        <v>8</v>
      </c>
      <c r="F71" s="9" t="str" cm="1">
        <f t="array" ref="F71">IF(
  INDEX(
    param_list_and_type!$F:$K,
    MATCH(1,
      (param_list_and_type!$A:$A=A71)*
      (param_list_and_type!$B:$B=B71)*
      (param_list_and_type!$C:$C=C71),
    0),
    MATCH(E71, param_list_and_type!$F$1:$K$1, 0)
  )="X",
"Yes",
"No"
)</f>
        <v>No</v>
      </c>
      <c r="G71" s="9">
        <v>0</v>
      </c>
      <c r="I71" s="9"/>
    </row>
    <row r="72" spans="1:9" hidden="1" x14ac:dyDescent="0.2">
      <c r="A72" s="9" t="s">
        <v>11</v>
      </c>
      <c r="B72" s="9" t="s">
        <v>41</v>
      </c>
      <c r="C72" s="9" t="s">
        <v>42</v>
      </c>
      <c r="D72" s="9" t="s">
        <v>43</v>
      </c>
      <c r="E72" s="11" t="s">
        <v>9</v>
      </c>
      <c r="F72" s="9" t="str" cm="1">
        <f t="array" ref="F72">IF(
  INDEX(
    param_list_and_type!$F:$K,
    MATCH(1,
      (param_list_and_type!$A:$A=A72)*
      (param_list_and_type!$B:$B=B72)*
      (param_list_and_type!$C:$C=C72),
    0),
    MATCH(E72, param_list_and_type!$F$1:$K$1, 0)
  )="X",
"Yes",
"No"
)</f>
        <v>No</v>
      </c>
      <c r="G72" s="9">
        <v>0</v>
      </c>
      <c r="I72" s="9"/>
    </row>
    <row r="73" spans="1:9" x14ac:dyDescent="0.2">
      <c r="A73" s="9" t="s">
        <v>11</v>
      </c>
      <c r="B73" s="9" t="s">
        <v>41</v>
      </c>
      <c r="C73" s="9" t="s">
        <v>42</v>
      </c>
      <c r="D73" s="9" t="s">
        <v>43</v>
      </c>
      <c r="E73" s="9" t="s">
        <v>10</v>
      </c>
      <c r="F73" s="9" t="str" cm="1">
        <f t="array" ref="F73">IF(
  INDEX(
    param_list_and_type!$F:$K,
    MATCH(1,
      (param_list_and_type!$A:$A=A73)*
      (param_list_and_type!$B:$B=B73)*
      (param_list_and_type!$C:$C=C73),
    0),
    MATCH(E73, param_list_and_type!$F$1:$K$1, 0)
  )="X",
"Yes",
"No"
)</f>
        <v>Yes</v>
      </c>
    </row>
    <row r="74" spans="1:9" hidden="1" x14ac:dyDescent="0.2">
      <c r="A74" s="9" t="s">
        <v>11</v>
      </c>
      <c r="B74" s="9" t="s">
        <v>41</v>
      </c>
      <c r="C74" s="9" t="s">
        <v>44</v>
      </c>
      <c r="D74" s="9" t="s">
        <v>45</v>
      </c>
      <c r="E74" s="9" t="s">
        <v>5</v>
      </c>
      <c r="F74" s="9" t="str" cm="1">
        <f t="array" ref="F74">IF(
  INDEX(
    param_list_and_type!$F:$K,
    MATCH(1,
      (param_list_and_type!$A:$A=A74)*
      (param_list_and_type!$B:$B=B74)*
      (param_list_and_type!$C:$C=C74),
    0),
    MATCH(E74, param_list_and_type!$F$1:$K$1, 0)
  )="X",
"Yes",
"No"
)</f>
        <v>No</v>
      </c>
      <c r="G74" s="9">
        <v>0</v>
      </c>
      <c r="I74" s="9"/>
    </row>
    <row r="75" spans="1:9" hidden="1" x14ac:dyDescent="0.2">
      <c r="A75" s="9" t="s">
        <v>11</v>
      </c>
      <c r="B75" s="9" t="s">
        <v>41</v>
      </c>
      <c r="C75" s="9" t="s">
        <v>44</v>
      </c>
      <c r="D75" s="9" t="s">
        <v>45</v>
      </c>
      <c r="E75" s="9" t="s">
        <v>6</v>
      </c>
      <c r="F75" s="9" t="str" cm="1">
        <f t="array" ref="F75">IF(
  INDEX(
    param_list_and_type!$F:$K,
    MATCH(1,
      (param_list_and_type!$A:$A=A75)*
      (param_list_and_type!$B:$B=B75)*
      (param_list_and_type!$C:$C=C75),
    0),
    MATCH(E75, param_list_and_type!$F$1:$K$1, 0)
  )="X",
"Yes",
"No"
)</f>
        <v>No</v>
      </c>
      <c r="G75" s="9">
        <v>0</v>
      </c>
      <c r="I75" s="9"/>
    </row>
    <row r="76" spans="1:9" hidden="1" x14ac:dyDescent="0.2">
      <c r="A76" s="9" t="s">
        <v>11</v>
      </c>
      <c r="B76" s="9" t="s">
        <v>41</v>
      </c>
      <c r="C76" s="9" t="s">
        <v>44</v>
      </c>
      <c r="D76" s="9" t="s">
        <v>45</v>
      </c>
      <c r="E76" s="11" t="s">
        <v>7</v>
      </c>
      <c r="F76" s="9" t="str" cm="1">
        <f t="array" ref="F76">IF(
  INDEX(
    param_list_and_type!$F:$K,
    MATCH(1,
      (param_list_and_type!$A:$A=A76)*
      (param_list_and_type!$B:$B=B76)*
      (param_list_and_type!$C:$C=C76),
    0),
    MATCH(E76, param_list_and_type!$F$1:$K$1, 0)
  )="X",
"Yes",
"No"
)</f>
        <v>No</v>
      </c>
      <c r="G76" s="9">
        <v>0</v>
      </c>
      <c r="I76" s="9"/>
    </row>
    <row r="77" spans="1:9" hidden="1" x14ac:dyDescent="0.2">
      <c r="A77" s="9" t="s">
        <v>11</v>
      </c>
      <c r="B77" s="9" t="s">
        <v>41</v>
      </c>
      <c r="C77" s="9" t="s">
        <v>44</v>
      </c>
      <c r="D77" s="9" t="s">
        <v>45</v>
      </c>
      <c r="E77" s="11" t="s">
        <v>8</v>
      </c>
      <c r="F77" s="9" t="str" cm="1">
        <f t="array" ref="F77">IF(
  INDEX(
    param_list_and_type!$F:$K,
    MATCH(1,
      (param_list_and_type!$A:$A=A77)*
      (param_list_and_type!$B:$B=B77)*
      (param_list_and_type!$C:$C=C77),
    0),
    MATCH(E77, param_list_and_type!$F$1:$K$1, 0)
  )="X",
"Yes",
"No"
)</f>
        <v>No</v>
      </c>
      <c r="G77" s="9">
        <v>0</v>
      </c>
      <c r="I77" s="9"/>
    </row>
    <row r="78" spans="1:9" hidden="1" x14ac:dyDescent="0.2">
      <c r="A78" s="9" t="s">
        <v>11</v>
      </c>
      <c r="B78" s="9" t="s">
        <v>41</v>
      </c>
      <c r="C78" s="9" t="s">
        <v>44</v>
      </c>
      <c r="D78" s="9" t="s">
        <v>45</v>
      </c>
      <c r="E78" s="11" t="s">
        <v>9</v>
      </c>
      <c r="F78" s="9" t="str" cm="1">
        <f t="array" ref="F78">IF(
  INDEX(
    param_list_and_type!$F:$K,
    MATCH(1,
      (param_list_and_type!$A:$A=A78)*
      (param_list_and_type!$B:$B=B78)*
      (param_list_and_type!$C:$C=C78),
    0),
    MATCH(E78, param_list_and_type!$F$1:$K$1, 0)
  )="X",
"Yes",
"No"
)</f>
        <v>No</v>
      </c>
      <c r="G78" s="9">
        <v>0</v>
      </c>
      <c r="I78" s="9"/>
    </row>
    <row r="79" spans="1:9" x14ac:dyDescent="0.2">
      <c r="A79" s="9" t="s">
        <v>11</v>
      </c>
      <c r="B79" s="9" t="s">
        <v>41</v>
      </c>
      <c r="C79" s="9" t="s">
        <v>44</v>
      </c>
      <c r="D79" s="9" t="s">
        <v>45</v>
      </c>
      <c r="E79" s="9" t="s">
        <v>10</v>
      </c>
      <c r="F79" s="9" t="str" cm="1">
        <f t="array" ref="F79">IF(
  INDEX(
    param_list_and_type!$F:$K,
    MATCH(1,
      (param_list_and_type!$A:$A=A79)*
      (param_list_and_type!$B:$B=B79)*
      (param_list_and_type!$C:$C=C79),
    0),
    MATCH(E79, param_list_and_type!$F$1:$K$1, 0)
  )="X",
"Yes",
"No"
)</f>
        <v>Yes</v>
      </c>
    </row>
    <row r="80" spans="1:9" hidden="1" x14ac:dyDescent="0.2">
      <c r="A80" s="9" t="s">
        <v>11</v>
      </c>
      <c r="B80" s="9" t="s">
        <v>41</v>
      </c>
      <c r="C80" s="9" t="s">
        <v>46</v>
      </c>
      <c r="D80" s="9" t="s">
        <v>47</v>
      </c>
      <c r="E80" s="9" t="s">
        <v>5</v>
      </c>
      <c r="F80" s="9" t="str" cm="1">
        <f t="array" ref="F80">IF(
  INDEX(
    param_list_and_type!$F:$K,
    MATCH(1,
      (param_list_and_type!$A:$A=A80)*
      (param_list_and_type!$B:$B=B80)*
      (param_list_and_type!$C:$C=C80),
    0),
    MATCH(E80, param_list_and_type!$F$1:$K$1, 0)
  )="X",
"Yes",
"No"
)</f>
        <v>No</v>
      </c>
      <c r="G80" s="9">
        <v>0</v>
      </c>
      <c r="I80" s="9"/>
    </row>
    <row r="81" spans="1:9" hidden="1" x14ac:dyDescent="0.2">
      <c r="A81" s="9" t="s">
        <v>11</v>
      </c>
      <c r="B81" s="9" t="s">
        <v>41</v>
      </c>
      <c r="C81" s="9" t="s">
        <v>46</v>
      </c>
      <c r="D81" s="9" t="s">
        <v>47</v>
      </c>
      <c r="E81" s="9" t="s">
        <v>6</v>
      </c>
      <c r="F81" s="9" t="str" cm="1">
        <f t="array" ref="F81">IF(
  INDEX(
    param_list_and_type!$F:$K,
    MATCH(1,
      (param_list_and_type!$A:$A=A81)*
      (param_list_and_type!$B:$B=B81)*
      (param_list_and_type!$C:$C=C81),
    0),
    MATCH(E81, param_list_and_type!$F$1:$K$1, 0)
  )="X",
"Yes",
"No"
)</f>
        <v>No</v>
      </c>
      <c r="G81" s="9">
        <v>0</v>
      </c>
      <c r="I81" s="9"/>
    </row>
    <row r="82" spans="1:9" hidden="1" x14ac:dyDescent="0.2">
      <c r="A82" s="9" t="s">
        <v>11</v>
      </c>
      <c r="B82" s="9" t="s">
        <v>41</v>
      </c>
      <c r="C82" s="9" t="s">
        <v>46</v>
      </c>
      <c r="D82" s="9" t="s">
        <v>47</v>
      </c>
      <c r="E82" s="11" t="s">
        <v>7</v>
      </c>
      <c r="F82" s="9" t="str" cm="1">
        <f t="array" ref="F82">IF(
  INDEX(
    param_list_and_type!$F:$K,
    MATCH(1,
      (param_list_and_type!$A:$A=A82)*
      (param_list_and_type!$B:$B=B82)*
      (param_list_and_type!$C:$C=C82),
    0),
    MATCH(E82, param_list_and_type!$F$1:$K$1, 0)
  )="X",
"Yes",
"No"
)</f>
        <v>No</v>
      </c>
      <c r="G82" s="9">
        <v>0</v>
      </c>
      <c r="I82" s="9"/>
    </row>
    <row r="83" spans="1:9" hidden="1" x14ac:dyDescent="0.2">
      <c r="A83" s="9" t="s">
        <v>11</v>
      </c>
      <c r="B83" s="9" t="s">
        <v>41</v>
      </c>
      <c r="C83" s="9" t="s">
        <v>46</v>
      </c>
      <c r="D83" s="9" t="s">
        <v>47</v>
      </c>
      <c r="E83" s="11" t="s">
        <v>8</v>
      </c>
      <c r="F83" s="9" t="str" cm="1">
        <f t="array" ref="F83">IF(
  INDEX(
    param_list_and_type!$F:$K,
    MATCH(1,
      (param_list_and_type!$A:$A=A83)*
      (param_list_and_type!$B:$B=B83)*
      (param_list_and_type!$C:$C=C83),
    0),
    MATCH(E83, param_list_and_type!$F$1:$K$1, 0)
  )="X",
"Yes",
"No"
)</f>
        <v>No</v>
      </c>
      <c r="G83" s="9">
        <v>0</v>
      </c>
      <c r="I83" s="9"/>
    </row>
    <row r="84" spans="1:9" hidden="1" x14ac:dyDescent="0.2">
      <c r="A84" s="9" t="s">
        <v>11</v>
      </c>
      <c r="B84" s="9" t="s">
        <v>41</v>
      </c>
      <c r="C84" s="9" t="s">
        <v>46</v>
      </c>
      <c r="D84" s="9" t="s">
        <v>47</v>
      </c>
      <c r="E84" s="11" t="s">
        <v>9</v>
      </c>
      <c r="F84" s="9" t="str" cm="1">
        <f t="array" ref="F84">IF(
  INDEX(
    param_list_and_type!$F:$K,
    MATCH(1,
      (param_list_and_type!$A:$A=A84)*
      (param_list_and_type!$B:$B=B84)*
      (param_list_and_type!$C:$C=C84),
    0),
    MATCH(E84, param_list_and_type!$F$1:$K$1, 0)
  )="X",
"Yes",
"No"
)</f>
        <v>No</v>
      </c>
      <c r="G84" s="9">
        <v>0</v>
      </c>
      <c r="I84" s="9"/>
    </row>
    <row r="85" spans="1:9" x14ac:dyDescent="0.2">
      <c r="A85" s="9" t="s">
        <v>11</v>
      </c>
      <c r="B85" s="9" t="s">
        <v>41</v>
      </c>
      <c r="C85" s="9" t="s">
        <v>46</v>
      </c>
      <c r="D85" s="9" t="s">
        <v>47</v>
      </c>
      <c r="E85" s="9" t="s">
        <v>10</v>
      </c>
      <c r="F85" s="9" t="str" cm="1">
        <f t="array" ref="F85">IF(
  INDEX(
    param_list_and_type!$F:$K,
    MATCH(1,
      (param_list_and_type!$A:$A=A85)*
      (param_list_and_type!$B:$B=B85)*
      (param_list_and_type!$C:$C=C85),
    0),
    MATCH(E85, param_list_and_type!$F$1:$K$1, 0)
  )="X",
"Yes",
"No"
)</f>
        <v>Yes</v>
      </c>
    </row>
    <row r="86" spans="1:9" hidden="1" x14ac:dyDescent="0.2">
      <c r="A86" s="9" t="s">
        <v>11</v>
      </c>
      <c r="B86" s="9" t="s">
        <v>41</v>
      </c>
      <c r="C86" s="9" t="s">
        <v>48</v>
      </c>
      <c r="D86" s="9" t="s">
        <v>49</v>
      </c>
      <c r="E86" s="9" t="s">
        <v>5</v>
      </c>
      <c r="F86" s="9" t="str" cm="1">
        <f t="array" ref="F86">IF(
  INDEX(
    param_list_and_type!$F:$K,
    MATCH(1,
      (param_list_and_type!$A:$A=A86)*
      (param_list_and_type!$B:$B=B86)*
      (param_list_and_type!$C:$C=C86),
    0),
    MATCH(E86, param_list_and_type!$F$1:$K$1, 0)
  )="X",
"Yes",
"No"
)</f>
        <v>No</v>
      </c>
      <c r="G86" s="9">
        <v>0</v>
      </c>
      <c r="I86" s="9"/>
    </row>
    <row r="87" spans="1:9" hidden="1" x14ac:dyDescent="0.2">
      <c r="A87" s="9" t="s">
        <v>11</v>
      </c>
      <c r="B87" s="9" t="s">
        <v>41</v>
      </c>
      <c r="C87" s="9" t="s">
        <v>48</v>
      </c>
      <c r="D87" s="9" t="s">
        <v>49</v>
      </c>
      <c r="E87" s="9" t="s">
        <v>6</v>
      </c>
      <c r="F87" s="9" t="str" cm="1">
        <f t="array" ref="F87">IF(
  INDEX(
    param_list_and_type!$F:$K,
    MATCH(1,
      (param_list_and_type!$A:$A=A87)*
      (param_list_and_type!$B:$B=B87)*
      (param_list_and_type!$C:$C=C87),
    0),
    MATCH(E87, param_list_and_type!$F$1:$K$1, 0)
  )="X",
"Yes",
"No"
)</f>
        <v>No</v>
      </c>
      <c r="G87" s="9">
        <v>0</v>
      </c>
      <c r="I87" s="9"/>
    </row>
    <row r="88" spans="1:9" hidden="1" x14ac:dyDescent="0.2">
      <c r="A88" s="9" t="s">
        <v>11</v>
      </c>
      <c r="B88" s="9" t="s">
        <v>41</v>
      </c>
      <c r="C88" s="9" t="s">
        <v>48</v>
      </c>
      <c r="D88" s="9" t="s">
        <v>49</v>
      </c>
      <c r="E88" s="11" t="s">
        <v>7</v>
      </c>
      <c r="F88" s="9" t="str" cm="1">
        <f t="array" ref="F88">IF(
  INDEX(
    param_list_and_type!$F:$K,
    MATCH(1,
      (param_list_and_type!$A:$A=A88)*
      (param_list_and_type!$B:$B=B88)*
      (param_list_and_type!$C:$C=C88),
    0),
    MATCH(E88, param_list_and_type!$F$1:$K$1, 0)
  )="X",
"Yes",
"No"
)</f>
        <v>No</v>
      </c>
      <c r="G88" s="9">
        <v>0</v>
      </c>
      <c r="I88" s="9"/>
    </row>
    <row r="89" spans="1:9" hidden="1" x14ac:dyDescent="0.2">
      <c r="A89" s="9" t="s">
        <v>11</v>
      </c>
      <c r="B89" s="9" t="s">
        <v>41</v>
      </c>
      <c r="C89" s="9" t="s">
        <v>48</v>
      </c>
      <c r="D89" s="9" t="s">
        <v>49</v>
      </c>
      <c r="E89" s="11" t="s">
        <v>8</v>
      </c>
      <c r="F89" s="9" t="str" cm="1">
        <f t="array" ref="F89">IF(
  INDEX(
    param_list_and_type!$F:$K,
    MATCH(1,
      (param_list_and_type!$A:$A=A89)*
      (param_list_and_type!$B:$B=B89)*
      (param_list_and_type!$C:$C=C89),
    0),
    MATCH(E89, param_list_and_type!$F$1:$K$1, 0)
  )="X",
"Yes",
"No"
)</f>
        <v>No</v>
      </c>
      <c r="G89" s="9">
        <v>0</v>
      </c>
      <c r="I89" s="9"/>
    </row>
    <row r="90" spans="1:9" hidden="1" x14ac:dyDescent="0.2">
      <c r="A90" s="9" t="s">
        <v>11</v>
      </c>
      <c r="B90" s="9" t="s">
        <v>41</v>
      </c>
      <c r="C90" s="9" t="s">
        <v>48</v>
      </c>
      <c r="D90" s="9" t="s">
        <v>49</v>
      </c>
      <c r="E90" s="11" t="s">
        <v>9</v>
      </c>
      <c r="F90" s="9" t="str" cm="1">
        <f t="array" ref="F90">IF(
  INDEX(
    param_list_and_type!$F:$K,
    MATCH(1,
      (param_list_and_type!$A:$A=A90)*
      (param_list_and_type!$B:$B=B90)*
      (param_list_and_type!$C:$C=C90),
    0),
    MATCH(E90, param_list_and_type!$F$1:$K$1, 0)
  )="X",
"Yes",
"No"
)</f>
        <v>No</v>
      </c>
      <c r="G90" s="9">
        <v>0</v>
      </c>
      <c r="I90" s="9"/>
    </row>
    <row r="91" spans="1:9" x14ac:dyDescent="0.2">
      <c r="A91" s="9" t="s">
        <v>11</v>
      </c>
      <c r="B91" s="9" t="s">
        <v>41</v>
      </c>
      <c r="C91" s="9" t="s">
        <v>48</v>
      </c>
      <c r="D91" s="9" t="s">
        <v>49</v>
      </c>
      <c r="E91" s="9" t="s">
        <v>10</v>
      </c>
      <c r="F91" s="9" t="str" cm="1">
        <f t="array" ref="F91">IF(
  INDEX(
    param_list_and_type!$F:$K,
    MATCH(1,
      (param_list_and_type!$A:$A=A91)*
      (param_list_and_type!$B:$B=B91)*
      (param_list_and_type!$C:$C=C91),
    0),
    MATCH(E91, param_list_and_type!$F$1:$K$1, 0)
  )="X",
"Yes",
"No"
)</f>
        <v>Yes</v>
      </c>
    </row>
    <row r="92" spans="1:9" hidden="1" x14ac:dyDescent="0.2">
      <c r="A92" s="9" t="s">
        <v>11</v>
      </c>
      <c r="B92" s="9" t="s">
        <v>50</v>
      </c>
      <c r="C92" s="9" t="s">
        <v>51</v>
      </c>
      <c r="D92" s="9" t="s">
        <v>52</v>
      </c>
      <c r="E92" s="9" t="s">
        <v>5</v>
      </c>
      <c r="F92" s="9" t="str" cm="1">
        <f t="array" ref="F92">IF(
  INDEX(
    param_list_and_type!$F:$K,
    MATCH(1,
      (param_list_and_type!$A:$A=A92)*
      (param_list_and_type!$B:$B=B92)*
      (param_list_and_type!$C:$C=C92),
    0),
    MATCH(E92, param_list_and_type!$F$1:$K$1, 0)
  )="X",
"Yes",
"No"
)</f>
        <v>No</v>
      </c>
      <c r="G92" s="9">
        <v>0</v>
      </c>
      <c r="I92" s="9"/>
    </row>
    <row r="93" spans="1:9" hidden="1" x14ac:dyDescent="0.2">
      <c r="A93" s="9" t="s">
        <v>11</v>
      </c>
      <c r="B93" s="9" t="s">
        <v>50</v>
      </c>
      <c r="C93" s="9" t="s">
        <v>51</v>
      </c>
      <c r="D93" s="9" t="s">
        <v>52</v>
      </c>
      <c r="E93" s="9" t="s">
        <v>6</v>
      </c>
      <c r="F93" s="9" t="str" cm="1">
        <f t="array" ref="F93">IF(
  INDEX(
    param_list_and_type!$F:$K,
    MATCH(1,
      (param_list_and_type!$A:$A=A93)*
      (param_list_and_type!$B:$B=B93)*
      (param_list_and_type!$C:$C=C93),
    0),
    MATCH(E93, param_list_and_type!$F$1:$K$1, 0)
  )="X",
"Yes",
"No"
)</f>
        <v>No</v>
      </c>
      <c r="G93" s="9">
        <v>0</v>
      </c>
      <c r="I93" s="9"/>
    </row>
    <row r="94" spans="1:9" hidden="1" x14ac:dyDescent="0.2">
      <c r="A94" s="9" t="s">
        <v>11</v>
      </c>
      <c r="B94" s="9" t="s">
        <v>50</v>
      </c>
      <c r="C94" s="9" t="s">
        <v>51</v>
      </c>
      <c r="D94" s="9" t="s">
        <v>52</v>
      </c>
      <c r="E94" s="11" t="s">
        <v>7</v>
      </c>
      <c r="F94" s="9" t="str" cm="1">
        <f t="array" ref="F94">IF(
  INDEX(
    param_list_and_type!$F:$K,
    MATCH(1,
      (param_list_and_type!$A:$A=A94)*
      (param_list_and_type!$B:$B=B94)*
      (param_list_and_type!$C:$C=C94),
    0),
    MATCH(E94, param_list_and_type!$F$1:$K$1, 0)
  )="X",
"Yes",
"No"
)</f>
        <v>No</v>
      </c>
      <c r="G94" s="9">
        <v>0</v>
      </c>
      <c r="I94" s="9"/>
    </row>
    <row r="95" spans="1:9" x14ac:dyDescent="0.2">
      <c r="A95" s="9" t="s">
        <v>11</v>
      </c>
      <c r="B95" s="9" t="s">
        <v>50</v>
      </c>
      <c r="C95" s="9" t="s">
        <v>51</v>
      </c>
      <c r="D95" s="9" t="s">
        <v>52</v>
      </c>
      <c r="E95" s="11" t="s">
        <v>8</v>
      </c>
      <c r="F95" s="9" t="str" cm="1">
        <f t="array" ref="F95">IF(
  INDEX(
    param_list_and_type!$F:$K,
    MATCH(1,
      (param_list_and_type!$A:$A=A95)*
      (param_list_and_type!$B:$B=B95)*
      (param_list_and_type!$C:$C=C95),
    0),
    MATCH(E95, param_list_and_type!$F$1:$K$1, 0)
  )="X",
"Yes",
"No"
)</f>
        <v>Yes</v>
      </c>
    </row>
    <row r="96" spans="1:9" x14ac:dyDescent="0.2">
      <c r="A96" s="9" t="s">
        <v>11</v>
      </c>
      <c r="B96" s="9" t="s">
        <v>50</v>
      </c>
      <c r="C96" s="9" t="s">
        <v>51</v>
      </c>
      <c r="D96" s="9" t="s">
        <v>52</v>
      </c>
      <c r="E96" s="11" t="s">
        <v>9</v>
      </c>
      <c r="F96" s="9" t="str" cm="1">
        <f t="array" ref="F96">IF(
  INDEX(
    param_list_and_type!$F:$K,
    MATCH(1,
      (param_list_and_type!$A:$A=A96)*
      (param_list_and_type!$B:$B=B96)*
      (param_list_and_type!$C:$C=C96),
    0),
    MATCH(E96, param_list_and_type!$F$1:$K$1, 0)
  )="X",
"Yes",
"No"
)</f>
        <v>Yes</v>
      </c>
    </row>
    <row r="97" spans="1:10" x14ac:dyDescent="0.2">
      <c r="A97" s="9" t="s">
        <v>11</v>
      </c>
      <c r="B97" s="9" t="s">
        <v>50</v>
      </c>
      <c r="C97" s="9" t="s">
        <v>51</v>
      </c>
      <c r="D97" s="9" t="s">
        <v>52</v>
      </c>
      <c r="E97" s="9" t="s">
        <v>10</v>
      </c>
      <c r="F97" s="9" t="str" cm="1">
        <f t="array" ref="F97">IF(
  INDEX(
    param_list_and_type!$F:$K,
    MATCH(1,
      (param_list_and_type!$A:$A=A97)*
      (param_list_and_type!$B:$B=B97)*
      (param_list_and_type!$C:$C=C97),
    0),
    MATCH(E97, param_list_and_type!$F$1:$K$1, 0)
  )="X",
"Yes",
"No"
)</f>
        <v>Yes</v>
      </c>
    </row>
    <row r="98" spans="1:10" s="10" customFormat="1" hidden="1" x14ac:dyDescent="0.2">
      <c r="A98" s="10" t="s">
        <v>11</v>
      </c>
      <c r="B98" s="10" t="s">
        <v>54</v>
      </c>
      <c r="C98" s="10" t="s">
        <v>55</v>
      </c>
      <c r="D98" s="10" t="s">
        <v>56</v>
      </c>
      <c r="E98" s="10" t="s">
        <v>5</v>
      </c>
      <c r="F98" s="9" t="str" cm="1">
        <f t="array" ref="F98">IF(
  INDEX(
    param_list_and_type!$F:$K,
    MATCH(1,
      (param_list_and_type!$A:$A=A98)*
      (param_list_and_type!$B:$B=B98)*
      (param_list_and_type!$C:$C=C98),
    0),
    MATCH(E98, param_list_and_type!$F$1:$K$1, 0)
  )="X",
"Yes",
"No"
)</f>
        <v>No</v>
      </c>
      <c r="G98" s="9">
        <v>0</v>
      </c>
      <c r="H98" s="9"/>
      <c r="I98" s="9"/>
      <c r="J98" s="9"/>
    </row>
    <row r="99" spans="1:10" s="10" customFormat="1" hidden="1" x14ac:dyDescent="0.2">
      <c r="A99" s="10" t="s">
        <v>11</v>
      </c>
      <c r="B99" s="10" t="s">
        <v>54</v>
      </c>
      <c r="C99" s="10" t="s">
        <v>55</v>
      </c>
      <c r="D99" s="10" t="s">
        <v>56</v>
      </c>
      <c r="E99" s="10" t="s">
        <v>6</v>
      </c>
      <c r="F99" s="9" t="str" cm="1">
        <f t="array" ref="F99">IF(
  INDEX(
    param_list_and_type!$F:$K,
    MATCH(1,
      (param_list_and_type!$A:$A=A99)*
      (param_list_and_type!$B:$B=B99)*
      (param_list_and_type!$C:$C=C99),
    0),
    MATCH(E99, param_list_and_type!$F$1:$K$1, 0)
  )="X",
"Yes",
"No"
)</f>
        <v>No</v>
      </c>
      <c r="G99" s="9">
        <v>0</v>
      </c>
      <c r="H99" s="9"/>
      <c r="I99" s="9"/>
      <c r="J99" s="9"/>
    </row>
    <row r="100" spans="1:10" s="10" customFormat="1" hidden="1" x14ac:dyDescent="0.2">
      <c r="A100" s="10" t="s">
        <v>11</v>
      </c>
      <c r="B100" s="10" t="s">
        <v>54</v>
      </c>
      <c r="C100" s="10" t="s">
        <v>55</v>
      </c>
      <c r="D100" s="10" t="s">
        <v>56</v>
      </c>
      <c r="E100" s="12" t="s">
        <v>7</v>
      </c>
      <c r="F100" s="9" t="str" cm="1">
        <f t="array" ref="F100">IF(
  INDEX(
    param_list_and_type!$F:$K,
    MATCH(1,
      (param_list_and_type!$A:$A=A100)*
      (param_list_and_type!$B:$B=B100)*
      (param_list_and_type!$C:$C=C100),
    0),
    MATCH(E100, param_list_and_type!$F$1:$K$1, 0)
  )="X",
"Yes",
"No"
)</f>
        <v>No</v>
      </c>
      <c r="G100" s="9">
        <v>0</v>
      </c>
      <c r="H100" s="9"/>
      <c r="I100" s="9"/>
      <c r="J100" s="9"/>
    </row>
    <row r="101" spans="1:10" s="10" customFormat="1" x14ac:dyDescent="0.2">
      <c r="A101" s="10" t="s">
        <v>11</v>
      </c>
      <c r="B101" s="10" t="s">
        <v>54</v>
      </c>
      <c r="C101" s="10" t="s">
        <v>55</v>
      </c>
      <c r="D101" s="10" t="s">
        <v>56</v>
      </c>
      <c r="E101" s="12" t="s">
        <v>8</v>
      </c>
      <c r="F101" s="9" t="str" cm="1">
        <f t="array" ref="F101">IF(
  INDEX(
    param_list_and_type!$F:$K,
    MATCH(1,
      (param_list_and_type!$A:$A=A101)*
      (param_list_and_type!$B:$B=B101)*
      (param_list_and_type!$C:$C=C101),
    0),
    MATCH(E101, param_list_and_type!$F$1:$K$1, 0)
  )="X",
"Yes",
"No"
)</f>
        <v>Yes</v>
      </c>
      <c r="I101" s="14"/>
    </row>
    <row r="102" spans="1:10" s="10" customFormat="1" x14ac:dyDescent="0.2">
      <c r="A102" s="10" t="s">
        <v>11</v>
      </c>
      <c r="B102" s="10" t="s">
        <v>54</v>
      </c>
      <c r="C102" s="10" t="s">
        <v>55</v>
      </c>
      <c r="D102" s="10" t="s">
        <v>56</v>
      </c>
      <c r="E102" s="12" t="s">
        <v>9</v>
      </c>
      <c r="F102" s="9" t="str" cm="1">
        <f t="array" ref="F102">IF(
  INDEX(
    param_list_and_type!$F:$K,
    MATCH(1,
      (param_list_and_type!$A:$A=A102)*
      (param_list_and_type!$B:$B=B102)*
      (param_list_and_type!$C:$C=C102),
    0),
    MATCH(E102, param_list_and_type!$F$1:$K$1, 0)
  )="X",
"Yes",
"No"
)</f>
        <v>Yes</v>
      </c>
      <c r="I102" s="14"/>
    </row>
    <row r="103" spans="1:10" s="10" customFormat="1" x14ac:dyDescent="0.2">
      <c r="A103" s="10" t="s">
        <v>11</v>
      </c>
      <c r="B103" s="10" t="s">
        <v>54</v>
      </c>
      <c r="C103" s="10" t="s">
        <v>55</v>
      </c>
      <c r="D103" s="10" t="s">
        <v>56</v>
      </c>
      <c r="E103" s="10" t="s">
        <v>10</v>
      </c>
      <c r="F103" s="9" t="str" cm="1">
        <f t="array" ref="F103">IF(
  INDEX(
    param_list_and_type!$F:$K,
    MATCH(1,
      (param_list_and_type!$A:$A=A103)*
      (param_list_and_type!$B:$B=B103)*
      (param_list_and_type!$C:$C=C103),
    0),
    MATCH(E103, param_list_and_type!$F$1:$K$1, 0)
  )="X",
"Yes",
"No"
)</f>
        <v>Yes</v>
      </c>
      <c r="I103" s="14"/>
    </row>
    <row r="104" spans="1:10" s="10" customFormat="1" hidden="1" x14ac:dyDescent="0.2">
      <c r="A104" s="10" t="s">
        <v>11</v>
      </c>
      <c r="B104" s="10" t="s">
        <v>54</v>
      </c>
      <c r="C104" s="10" t="s">
        <v>57</v>
      </c>
      <c r="D104" s="10" t="s">
        <v>58</v>
      </c>
      <c r="E104" s="10" t="s">
        <v>5</v>
      </c>
      <c r="F104" s="9" t="str" cm="1">
        <f t="array" ref="F104">IF(
  INDEX(
    param_list_and_type!$F:$K,
    MATCH(1,
      (param_list_and_type!$A:$A=A104)*
      (param_list_and_type!$B:$B=B104)*
      (param_list_and_type!$C:$C=C104),
    0),
    MATCH(E104, param_list_and_type!$F$1:$K$1, 0)
  )="X",
"Yes",
"No"
)</f>
        <v>No</v>
      </c>
      <c r="G104" s="9">
        <v>0</v>
      </c>
      <c r="H104" s="9"/>
      <c r="I104" s="9"/>
      <c r="J104" s="9"/>
    </row>
    <row r="105" spans="1:10" s="10" customFormat="1" hidden="1" x14ac:dyDescent="0.2">
      <c r="A105" s="10" t="s">
        <v>11</v>
      </c>
      <c r="B105" s="10" t="s">
        <v>54</v>
      </c>
      <c r="C105" s="10" t="s">
        <v>57</v>
      </c>
      <c r="D105" s="10" t="s">
        <v>58</v>
      </c>
      <c r="E105" s="10" t="s">
        <v>6</v>
      </c>
      <c r="F105" s="9" t="str" cm="1">
        <f t="array" ref="F105">IF(
  INDEX(
    param_list_and_type!$F:$K,
    MATCH(1,
      (param_list_and_type!$A:$A=A105)*
      (param_list_and_type!$B:$B=B105)*
      (param_list_and_type!$C:$C=C105),
    0),
    MATCH(E105, param_list_and_type!$F$1:$K$1, 0)
  )="X",
"Yes",
"No"
)</f>
        <v>No</v>
      </c>
      <c r="G105" s="9">
        <v>0</v>
      </c>
      <c r="H105" s="9"/>
      <c r="I105" s="9"/>
      <c r="J105" s="9"/>
    </row>
    <row r="106" spans="1:10" s="10" customFormat="1" hidden="1" x14ac:dyDescent="0.2">
      <c r="A106" s="10" t="s">
        <v>11</v>
      </c>
      <c r="B106" s="10" t="s">
        <v>54</v>
      </c>
      <c r="C106" s="10" t="s">
        <v>57</v>
      </c>
      <c r="D106" s="10" t="s">
        <v>58</v>
      </c>
      <c r="E106" s="12" t="s">
        <v>7</v>
      </c>
      <c r="F106" s="9" t="str" cm="1">
        <f t="array" ref="F106">IF(
  INDEX(
    param_list_and_type!$F:$K,
    MATCH(1,
      (param_list_and_type!$A:$A=A106)*
      (param_list_and_type!$B:$B=B106)*
      (param_list_and_type!$C:$C=C106),
    0),
    MATCH(E106, param_list_and_type!$F$1:$K$1, 0)
  )="X",
"Yes",
"No"
)</f>
        <v>No</v>
      </c>
      <c r="G106" s="9">
        <v>0</v>
      </c>
      <c r="H106" s="9"/>
      <c r="I106" s="9"/>
      <c r="J106" s="9"/>
    </row>
    <row r="107" spans="1:10" s="10" customFormat="1" x14ac:dyDescent="0.2">
      <c r="A107" s="10" t="s">
        <v>11</v>
      </c>
      <c r="B107" s="10" t="s">
        <v>54</v>
      </c>
      <c r="C107" s="10" t="s">
        <v>57</v>
      </c>
      <c r="D107" s="10" t="s">
        <v>58</v>
      </c>
      <c r="E107" s="12" t="s">
        <v>8</v>
      </c>
      <c r="F107" s="9" t="str" cm="1">
        <f t="array" ref="F107">IF(
  INDEX(
    param_list_and_type!$F:$K,
    MATCH(1,
      (param_list_and_type!$A:$A=A107)*
      (param_list_and_type!$B:$B=B107)*
      (param_list_and_type!$C:$C=C107),
    0),
    MATCH(E107, param_list_and_type!$F$1:$K$1, 0)
  )="X",
"Yes",
"No"
)</f>
        <v>Yes</v>
      </c>
      <c r="I107" s="14"/>
    </row>
    <row r="108" spans="1:10" s="10" customFormat="1" ht="51" x14ac:dyDescent="0.2">
      <c r="A108" s="10" t="s">
        <v>11</v>
      </c>
      <c r="B108" s="10" t="s">
        <v>54</v>
      </c>
      <c r="C108" s="10" t="s">
        <v>57</v>
      </c>
      <c r="D108" s="10" t="s">
        <v>58</v>
      </c>
      <c r="E108" s="12" t="s">
        <v>9</v>
      </c>
      <c r="F108" s="9" t="str" cm="1">
        <f t="array" ref="F108">IF(
  INDEX(
    param_list_and_type!$F:$K,
    MATCH(1,
      (param_list_and_type!$A:$A=A108)*
      (param_list_and_type!$B:$B=B108)*
      (param_list_and_type!$C:$C=C108),
    0),
    MATCH(E108, param_list_and_type!$F$1:$K$1, 0)
  )="X",
"Yes",
"No"
)</f>
        <v>Yes</v>
      </c>
      <c r="G108" s="10">
        <v>0.63</v>
      </c>
      <c r="H108" s="14" t="s">
        <v>158</v>
      </c>
      <c r="I108" s="14" t="s">
        <v>156</v>
      </c>
      <c r="J108" s="10" t="s">
        <v>157</v>
      </c>
    </row>
    <row r="109" spans="1:10" s="10" customFormat="1" x14ac:dyDescent="0.2">
      <c r="A109" s="10" t="s">
        <v>11</v>
      </c>
      <c r="B109" s="10" t="s">
        <v>54</v>
      </c>
      <c r="C109" s="10" t="s">
        <v>57</v>
      </c>
      <c r="D109" s="10" t="s">
        <v>58</v>
      </c>
      <c r="E109" s="10" t="s">
        <v>10</v>
      </c>
      <c r="F109" s="9" t="str" cm="1">
        <f t="array" ref="F109">IF(
  INDEX(
    param_list_and_type!$F:$K,
    MATCH(1,
      (param_list_and_type!$A:$A=A109)*
      (param_list_and_type!$B:$B=B109)*
      (param_list_and_type!$C:$C=C109),
    0),
    MATCH(E109, param_list_and_type!$F$1:$K$1, 0)
  )="X",
"Yes",
"No"
)</f>
        <v>Yes</v>
      </c>
      <c r="I109" s="14"/>
    </row>
    <row r="110" spans="1:10" hidden="1" x14ac:dyDescent="0.2">
      <c r="A110" s="9" t="s">
        <v>11</v>
      </c>
      <c r="B110" s="9" t="s">
        <v>54</v>
      </c>
      <c r="C110" s="9" t="s">
        <v>59</v>
      </c>
      <c r="D110" s="9" t="s">
        <v>60</v>
      </c>
      <c r="E110" s="9" t="s">
        <v>5</v>
      </c>
      <c r="F110" s="9" t="str" cm="1">
        <f t="array" ref="F110">IF(
  INDEX(
    param_list_and_type!$F:$K,
    MATCH(1,
      (param_list_and_type!$A:$A=A110)*
      (param_list_and_type!$B:$B=B110)*
      (param_list_and_type!$C:$C=C110),
    0),
    MATCH(E110, param_list_and_type!$F$1:$K$1, 0)
  )="X",
"Yes",
"No"
)</f>
        <v>No</v>
      </c>
      <c r="G110" s="9">
        <v>0</v>
      </c>
      <c r="I110" s="9"/>
    </row>
    <row r="111" spans="1:10" hidden="1" x14ac:dyDescent="0.2">
      <c r="A111" s="9" t="s">
        <v>11</v>
      </c>
      <c r="B111" s="9" t="s">
        <v>54</v>
      </c>
      <c r="C111" s="9" t="s">
        <v>59</v>
      </c>
      <c r="D111" s="9" t="s">
        <v>60</v>
      </c>
      <c r="E111" s="9" t="s">
        <v>6</v>
      </c>
      <c r="F111" s="9" t="str" cm="1">
        <f t="array" ref="F111">IF(
  INDEX(
    param_list_and_type!$F:$K,
    MATCH(1,
      (param_list_and_type!$A:$A=A111)*
      (param_list_and_type!$B:$B=B111)*
      (param_list_and_type!$C:$C=C111),
    0),
    MATCH(E111, param_list_and_type!$F$1:$K$1, 0)
  )="X",
"Yes",
"No"
)</f>
        <v>No</v>
      </c>
      <c r="G111" s="9">
        <v>0</v>
      </c>
      <c r="I111" s="9"/>
    </row>
    <row r="112" spans="1:10" hidden="1" x14ac:dyDescent="0.2">
      <c r="A112" s="9" t="s">
        <v>11</v>
      </c>
      <c r="B112" s="9" t="s">
        <v>54</v>
      </c>
      <c r="C112" s="9" t="s">
        <v>59</v>
      </c>
      <c r="D112" s="9" t="s">
        <v>60</v>
      </c>
      <c r="E112" s="11" t="s">
        <v>7</v>
      </c>
      <c r="F112" s="9" t="str" cm="1">
        <f t="array" ref="F112">IF(
  INDEX(
    param_list_and_type!$F:$K,
    MATCH(1,
      (param_list_and_type!$A:$A=A112)*
      (param_list_and_type!$B:$B=B112)*
      (param_list_and_type!$C:$C=C112),
    0),
    MATCH(E112, param_list_and_type!$F$1:$K$1, 0)
  )="X",
"Yes",
"No"
)</f>
        <v>No</v>
      </c>
      <c r="G112" s="9">
        <v>0</v>
      </c>
      <c r="I112" s="9"/>
    </row>
    <row r="113" spans="1:10" x14ac:dyDescent="0.2">
      <c r="A113" s="9" t="s">
        <v>11</v>
      </c>
      <c r="B113" s="9" t="s">
        <v>54</v>
      </c>
      <c r="C113" s="9" t="s">
        <v>59</v>
      </c>
      <c r="D113" s="9" t="s">
        <v>60</v>
      </c>
      <c r="E113" s="11" t="s">
        <v>8</v>
      </c>
      <c r="F113" s="9" t="str" cm="1">
        <f t="array" ref="F113">IF(
  INDEX(
    param_list_and_type!$F:$K,
    MATCH(1,
      (param_list_and_type!$A:$A=A113)*
      (param_list_and_type!$B:$B=B113)*
      (param_list_and_type!$C:$C=C113),
    0),
    MATCH(E113, param_list_and_type!$F$1:$K$1, 0)
  )="X",
"Yes",
"No"
)</f>
        <v>Yes</v>
      </c>
    </row>
    <row r="114" spans="1:10" x14ac:dyDescent="0.2">
      <c r="A114" s="9" t="s">
        <v>11</v>
      </c>
      <c r="B114" s="9" t="s">
        <v>54</v>
      </c>
      <c r="C114" s="9" t="s">
        <v>59</v>
      </c>
      <c r="D114" s="9" t="s">
        <v>60</v>
      </c>
      <c r="E114" s="11" t="s">
        <v>9</v>
      </c>
      <c r="F114" s="9" t="str" cm="1">
        <f t="array" ref="F114">IF(
  INDEX(
    param_list_and_type!$F:$K,
    MATCH(1,
      (param_list_and_type!$A:$A=A114)*
      (param_list_and_type!$B:$B=B114)*
      (param_list_and_type!$C:$C=C114),
    0),
    MATCH(E114, param_list_and_type!$F$1:$K$1, 0)
  )="X",
"Yes",
"No"
)</f>
        <v>Yes</v>
      </c>
    </row>
    <row r="115" spans="1:10" x14ac:dyDescent="0.2">
      <c r="A115" s="9" t="s">
        <v>11</v>
      </c>
      <c r="B115" s="9" t="s">
        <v>54</v>
      </c>
      <c r="C115" s="9" t="s">
        <v>59</v>
      </c>
      <c r="D115" s="9" t="s">
        <v>60</v>
      </c>
      <c r="E115" s="9" t="s">
        <v>10</v>
      </c>
      <c r="F115" s="9" t="str" cm="1">
        <f t="array" ref="F115">IF(
  INDEX(
    param_list_and_type!$F:$K,
    MATCH(1,
      (param_list_and_type!$A:$A=A115)*
      (param_list_and_type!$B:$B=B115)*
      (param_list_and_type!$C:$C=C115),
    0),
    MATCH(E115, param_list_and_type!$F$1:$K$1, 0)
  )="X",
"Yes",
"No"
)</f>
        <v>Yes</v>
      </c>
    </row>
    <row r="116" spans="1:10" hidden="1" x14ac:dyDescent="0.2">
      <c r="A116" s="9" t="s">
        <v>61</v>
      </c>
      <c r="B116" s="9" t="s">
        <v>62</v>
      </c>
      <c r="C116" s="9" t="s">
        <v>62</v>
      </c>
      <c r="D116" s="9" t="s">
        <v>63</v>
      </c>
      <c r="E116" s="9" t="s">
        <v>5</v>
      </c>
      <c r="F116" s="9" t="str" cm="1">
        <f t="array" ref="F116">IF(
  INDEX(
    param_list_and_type!$F:$K,
    MATCH(1,
      (param_list_and_type!$A:$A=A116)*
      (param_list_and_type!$B:$B=B116)*
      (param_list_and_type!$C:$C=C116),
    0),
    MATCH(E116, param_list_and_type!$F$1:$K$1, 0)
  )="X",
"Yes",
"No"
)</f>
        <v>No</v>
      </c>
      <c r="G116" s="9">
        <v>0</v>
      </c>
      <c r="I116" s="9"/>
    </row>
    <row r="117" spans="1:10" hidden="1" x14ac:dyDescent="0.2">
      <c r="A117" s="9" t="s">
        <v>61</v>
      </c>
      <c r="B117" s="9" t="s">
        <v>62</v>
      </c>
      <c r="C117" s="9" t="s">
        <v>62</v>
      </c>
      <c r="D117" s="9" t="s">
        <v>63</v>
      </c>
      <c r="E117" s="9" t="s">
        <v>6</v>
      </c>
      <c r="F117" s="9" t="str" cm="1">
        <f t="array" ref="F117">IF(
  INDEX(
    param_list_and_type!$F:$K,
    MATCH(1,
      (param_list_and_type!$A:$A=A117)*
      (param_list_and_type!$B:$B=B117)*
      (param_list_and_type!$C:$C=C117),
    0),
    MATCH(E117, param_list_and_type!$F$1:$K$1, 0)
  )="X",
"Yes",
"No"
)</f>
        <v>No</v>
      </c>
      <c r="G117" s="9">
        <v>0</v>
      </c>
      <c r="I117" s="9"/>
    </row>
    <row r="118" spans="1:10" x14ac:dyDescent="0.2">
      <c r="A118" s="9" t="s">
        <v>61</v>
      </c>
      <c r="B118" s="9" t="s">
        <v>62</v>
      </c>
      <c r="C118" s="9" t="s">
        <v>62</v>
      </c>
      <c r="D118" s="9" t="s">
        <v>63</v>
      </c>
      <c r="E118" s="11" t="s">
        <v>7</v>
      </c>
      <c r="F118" s="9" t="str" cm="1">
        <f t="array" ref="F118">IF(
  INDEX(
    param_list_and_type!$F:$K,
    MATCH(1,
      (param_list_and_type!$A:$A=A118)*
      (param_list_and_type!$B:$B=B118)*
      (param_list_and_type!$C:$C=C118),
    0),
    MATCH(E118, param_list_and_type!$F$1:$K$1, 0)
  )="X",
"Yes",
"No"
)</f>
        <v>Yes</v>
      </c>
    </row>
    <row r="119" spans="1:10" x14ac:dyDescent="0.2">
      <c r="A119" s="9" t="s">
        <v>61</v>
      </c>
      <c r="B119" s="9" t="s">
        <v>62</v>
      </c>
      <c r="C119" s="9" t="s">
        <v>62</v>
      </c>
      <c r="D119" s="9" t="s">
        <v>63</v>
      </c>
      <c r="E119" s="11" t="s">
        <v>8</v>
      </c>
      <c r="F119" s="9" t="str" cm="1">
        <f t="array" ref="F119">IF(
  INDEX(
    param_list_and_type!$F:$K,
    MATCH(1,
      (param_list_and_type!$A:$A=A119)*
      (param_list_and_type!$B:$B=B119)*
      (param_list_and_type!$C:$C=C119),
    0),
    MATCH(E119, param_list_and_type!$F$1:$K$1, 0)
  )="X",
"Yes",
"No"
)</f>
        <v>Yes</v>
      </c>
    </row>
    <row r="120" spans="1:10" hidden="1" x14ac:dyDescent="0.2">
      <c r="A120" s="9" t="s">
        <v>61</v>
      </c>
      <c r="B120" s="9" t="s">
        <v>62</v>
      </c>
      <c r="C120" s="9" t="s">
        <v>62</v>
      </c>
      <c r="D120" s="9" t="s">
        <v>63</v>
      </c>
      <c r="E120" s="11" t="s">
        <v>9</v>
      </c>
      <c r="F120" s="9" t="str" cm="1">
        <f t="array" ref="F120">IF(
  INDEX(
    param_list_and_type!$F:$K,
    MATCH(1,
      (param_list_and_type!$A:$A=A120)*
      (param_list_and_type!$B:$B=B120)*
      (param_list_and_type!$C:$C=C120),
    0),
    MATCH(E120, param_list_and_type!$F$1:$K$1, 0)
  )="X",
"Yes",
"No"
)</f>
        <v>No</v>
      </c>
      <c r="G120" s="9">
        <v>0</v>
      </c>
      <c r="I120" s="9"/>
    </row>
    <row r="121" spans="1:10" hidden="1" x14ac:dyDescent="0.2">
      <c r="A121" s="9" t="s">
        <v>61</v>
      </c>
      <c r="B121" s="9" t="s">
        <v>62</v>
      </c>
      <c r="C121" s="9" t="s">
        <v>62</v>
      </c>
      <c r="D121" s="9" t="s">
        <v>63</v>
      </c>
      <c r="E121" s="9" t="s">
        <v>10</v>
      </c>
      <c r="F121" s="9" t="str" cm="1">
        <f t="array" ref="F121">IF(
  INDEX(
    param_list_and_type!$F:$K,
    MATCH(1,
      (param_list_and_type!$A:$A=A121)*
      (param_list_and_type!$B:$B=B121)*
      (param_list_and_type!$C:$C=C121),
    0),
    MATCH(E121, param_list_and_type!$F$1:$K$1, 0)
  )="X",
"Yes",
"No"
)</f>
        <v>No</v>
      </c>
      <c r="G121" s="9">
        <v>0</v>
      </c>
      <c r="I121" s="9"/>
    </row>
    <row r="122" spans="1:10" hidden="1" x14ac:dyDescent="0.2">
      <c r="A122" s="9" t="s">
        <v>61</v>
      </c>
      <c r="B122" s="9" t="s">
        <v>64</v>
      </c>
      <c r="C122" s="9" t="s">
        <v>64</v>
      </c>
      <c r="D122" s="9" t="s">
        <v>65</v>
      </c>
      <c r="E122" s="9" t="s">
        <v>5</v>
      </c>
      <c r="F122" s="9" t="str" cm="1">
        <f t="array" ref="F122">IF(
  INDEX(
    param_list_and_type!$F:$K,
    MATCH(1,
      (param_list_and_type!$A:$A=A122)*
      (param_list_and_type!$B:$B=B122)*
      (param_list_and_type!$C:$C=C122),
    0),
    MATCH(E122, param_list_and_type!$F$1:$K$1, 0)
  )="X",
"Yes",
"No"
)</f>
        <v>No</v>
      </c>
      <c r="G122" s="9">
        <v>0</v>
      </c>
      <c r="I122" s="9"/>
    </row>
    <row r="123" spans="1:10" hidden="1" x14ac:dyDescent="0.2">
      <c r="A123" s="9" t="s">
        <v>61</v>
      </c>
      <c r="B123" s="9" t="s">
        <v>64</v>
      </c>
      <c r="C123" s="9" t="s">
        <v>64</v>
      </c>
      <c r="D123" s="9" t="s">
        <v>65</v>
      </c>
      <c r="E123" s="9" t="s">
        <v>6</v>
      </c>
      <c r="F123" s="9" t="str" cm="1">
        <f t="array" ref="F123">IF(
  INDEX(
    param_list_and_type!$F:$K,
    MATCH(1,
      (param_list_and_type!$A:$A=A123)*
      (param_list_and_type!$B:$B=B123)*
      (param_list_and_type!$C:$C=C123),
    0),
    MATCH(E123, param_list_and_type!$F$1:$K$1, 0)
  )="X",
"Yes",
"No"
)</f>
        <v>No</v>
      </c>
      <c r="G123" s="9">
        <v>0</v>
      </c>
      <c r="I123" s="9"/>
    </row>
    <row r="124" spans="1:10" x14ac:dyDescent="0.2">
      <c r="A124" s="9" t="s">
        <v>61</v>
      </c>
      <c r="B124" s="9" t="s">
        <v>64</v>
      </c>
      <c r="C124" s="9" t="s">
        <v>64</v>
      </c>
      <c r="D124" s="9" t="s">
        <v>65</v>
      </c>
      <c r="E124" s="11" t="s">
        <v>7</v>
      </c>
      <c r="F124" s="9" t="str" cm="1">
        <f t="array" ref="F124">IF(
  INDEX(
    param_list_and_type!$F:$K,
    MATCH(1,
      (param_list_and_type!$A:$A=A124)*
      (param_list_and_type!$B:$B=B124)*
      (param_list_and_type!$C:$C=C124),
    0),
    MATCH(E124, param_list_and_type!$F$1:$K$1, 0)
  )="X",
"Yes",
"No"
)</f>
        <v>Yes</v>
      </c>
    </row>
    <row r="125" spans="1:10" x14ac:dyDescent="0.2">
      <c r="A125" s="9" t="s">
        <v>61</v>
      </c>
      <c r="B125" s="9" t="s">
        <v>64</v>
      </c>
      <c r="C125" s="9" t="s">
        <v>64</v>
      </c>
      <c r="D125" s="9" t="s">
        <v>65</v>
      </c>
      <c r="E125" s="11" t="s">
        <v>8</v>
      </c>
      <c r="F125" s="9" t="str" cm="1">
        <f t="array" ref="F125">IF(
  INDEX(
    param_list_and_type!$F:$K,
    MATCH(1,
      (param_list_and_type!$A:$A=A125)*
      (param_list_and_type!$B:$B=B125)*
      (param_list_and_type!$C:$C=C125),
    0),
    MATCH(E125, param_list_and_type!$F$1:$K$1, 0)
  )="X",
"Yes",
"No"
)</f>
        <v>Yes</v>
      </c>
    </row>
    <row r="126" spans="1:10" hidden="1" x14ac:dyDescent="0.2">
      <c r="A126" s="9" t="s">
        <v>61</v>
      </c>
      <c r="B126" s="9" t="s">
        <v>64</v>
      </c>
      <c r="C126" s="9" t="s">
        <v>64</v>
      </c>
      <c r="D126" s="9" t="s">
        <v>65</v>
      </c>
      <c r="E126" s="11" t="s">
        <v>9</v>
      </c>
      <c r="F126" s="9" t="str" cm="1">
        <f t="array" ref="F126">IF(
  INDEX(
    param_list_and_type!$F:$K,
    MATCH(1,
      (param_list_and_type!$A:$A=A126)*
      (param_list_and_type!$B:$B=B126)*
      (param_list_and_type!$C:$C=C126),
    0),
    MATCH(E126, param_list_and_type!$F$1:$K$1, 0)
  )="X",
"Yes",
"No"
)</f>
        <v>No</v>
      </c>
      <c r="G126" s="9">
        <v>0</v>
      </c>
      <c r="I126" s="9"/>
    </row>
    <row r="127" spans="1:10" hidden="1" x14ac:dyDescent="0.2">
      <c r="A127" s="9" t="s">
        <v>61</v>
      </c>
      <c r="B127" s="9" t="s">
        <v>64</v>
      </c>
      <c r="C127" s="9" t="s">
        <v>64</v>
      </c>
      <c r="D127" s="9" t="s">
        <v>65</v>
      </c>
      <c r="E127" s="9" t="s">
        <v>10</v>
      </c>
      <c r="F127" s="9" t="str" cm="1">
        <f t="array" ref="F127">IF(
  INDEX(
    param_list_and_type!$F:$K,
    MATCH(1,
      (param_list_and_type!$A:$A=A127)*
      (param_list_and_type!$B:$B=B127)*
      (param_list_and_type!$C:$C=C127),
    0),
    MATCH(E127, param_list_and_type!$F$1:$K$1, 0)
  )="X",
"Yes",
"No"
)</f>
        <v>No</v>
      </c>
      <c r="G127" s="9">
        <v>0</v>
      </c>
      <c r="I127" s="9"/>
    </row>
    <row r="128" spans="1:10" s="10" customFormat="1" hidden="1" x14ac:dyDescent="0.2">
      <c r="A128" s="10" t="s">
        <v>61</v>
      </c>
      <c r="B128" s="10" t="s">
        <v>66</v>
      </c>
      <c r="C128" s="10" t="s">
        <v>66</v>
      </c>
      <c r="D128" s="10" t="s">
        <v>67</v>
      </c>
      <c r="E128" s="10" t="s">
        <v>5</v>
      </c>
      <c r="F128" s="9" t="str" cm="1">
        <f t="array" ref="F128">IF(
  INDEX(
    param_list_and_type!$F:$K,
    MATCH(1,
      (param_list_and_type!$A:$A=A128)*
      (param_list_and_type!$B:$B=B128)*
      (param_list_and_type!$C:$C=C128),
    0),
    MATCH(E128, param_list_and_type!$F$1:$K$1, 0)
  )="X",
"Yes",
"No"
)</f>
        <v>No</v>
      </c>
      <c r="G128" s="9">
        <v>0</v>
      </c>
      <c r="H128" s="9"/>
      <c r="I128" s="9"/>
      <c r="J128" s="9"/>
    </row>
    <row r="129" spans="1:10" s="10" customFormat="1" hidden="1" x14ac:dyDescent="0.2">
      <c r="A129" s="10" t="s">
        <v>61</v>
      </c>
      <c r="B129" s="10" t="s">
        <v>66</v>
      </c>
      <c r="C129" s="10" t="s">
        <v>66</v>
      </c>
      <c r="D129" s="10" t="s">
        <v>67</v>
      </c>
      <c r="E129" s="10" t="s">
        <v>6</v>
      </c>
      <c r="F129" s="9" t="str" cm="1">
        <f t="array" ref="F129">IF(
  INDEX(
    param_list_and_type!$F:$K,
    MATCH(1,
      (param_list_and_type!$A:$A=A129)*
      (param_list_and_type!$B:$B=B129)*
      (param_list_and_type!$C:$C=C129),
    0),
    MATCH(E129, param_list_and_type!$F$1:$K$1, 0)
  )="X",
"Yes",
"No"
)</f>
        <v>No</v>
      </c>
      <c r="G129" s="9">
        <v>0</v>
      </c>
      <c r="H129" s="9"/>
      <c r="I129" s="9"/>
      <c r="J129" s="9"/>
    </row>
    <row r="130" spans="1:10" s="10" customFormat="1" x14ac:dyDescent="0.2">
      <c r="A130" s="10" t="s">
        <v>61</v>
      </c>
      <c r="B130" s="10" t="s">
        <v>66</v>
      </c>
      <c r="C130" s="10" t="s">
        <v>66</v>
      </c>
      <c r="D130" s="10" t="s">
        <v>67</v>
      </c>
      <c r="E130" s="12" t="s">
        <v>7</v>
      </c>
      <c r="F130" s="9" t="str" cm="1">
        <f t="array" ref="F130">IF(
  INDEX(
    param_list_and_type!$F:$K,
    MATCH(1,
      (param_list_and_type!$A:$A=A130)*
      (param_list_and_type!$B:$B=B130)*
      (param_list_and_type!$C:$C=C130),
    0),
    MATCH(E130, param_list_and_type!$F$1:$K$1, 0)
  )="X",
"Yes",
"No"
)</f>
        <v>Yes</v>
      </c>
      <c r="I130" s="14"/>
    </row>
    <row r="131" spans="1:10" s="10" customFormat="1" x14ac:dyDescent="0.2">
      <c r="A131" s="10" t="s">
        <v>61</v>
      </c>
      <c r="B131" s="10" t="s">
        <v>66</v>
      </c>
      <c r="C131" s="10" t="s">
        <v>66</v>
      </c>
      <c r="D131" s="10" t="s">
        <v>67</v>
      </c>
      <c r="E131" s="12" t="s">
        <v>8</v>
      </c>
      <c r="F131" s="9" t="str" cm="1">
        <f t="array" ref="F131">IF(
  INDEX(
    param_list_and_type!$F:$K,
    MATCH(1,
      (param_list_and_type!$A:$A=A131)*
      (param_list_and_type!$B:$B=B131)*
      (param_list_and_type!$C:$C=C131),
    0),
    MATCH(E131, param_list_and_type!$F$1:$K$1, 0)
  )="X",
"Yes",
"No"
)</f>
        <v>Yes</v>
      </c>
      <c r="I131" s="14"/>
    </row>
    <row r="132" spans="1:10" s="10" customFormat="1" hidden="1" x14ac:dyDescent="0.2">
      <c r="A132" s="10" t="s">
        <v>61</v>
      </c>
      <c r="B132" s="10" t="s">
        <v>66</v>
      </c>
      <c r="C132" s="10" t="s">
        <v>66</v>
      </c>
      <c r="D132" s="10" t="s">
        <v>67</v>
      </c>
      <c r="E132" s="12" t="s">
        <v>9</v>
      </c>
      <c r="F132" s="9" t="str" cm="1">
        <f t="array" ref="F132">IF(
  INDEX(
    param_list_and_type!$F:$K,
    MATCH(1,
      (param_list_and_type!$A:$A=A132)*
      (param_list_and_type!$B:$B=B132)*
      (param_list_and_type!$C:$C=C132),
    0),
    MATCH(E132, param_list_and_type!$F$1:$K$1, 0)
  )="X",
"Yes",
"No"
)</f>
        <v>No</v>
      </c>
      <c r="G132" s="9">
        <v>0</v>
      </c>
      <c r="H132" s="9"/>
      <c r="I132" s="9"/>
      <c r="J132" s="9"/>
    </row>
    <row r="133" spans="1:10" s="10" customFormat="1" hidden="1" x14ac:dyDescent="0.2">
      <c r="A133" s="10" t="s">
        <v>61</v>
      </c>
      <c r="B133" s="10" t="s">
        <v>66</v>
      </c>
      <c r="C133" s="10" t="s">
        <v>66</v>
      </c>
      <c r="D133" s="10" t="s">
        <v>67</v>
      </c>
      <c r="E133" s="10" t="s">
        <v>10</v>
      </c>
      <c r="F133" s="9" t="str" cm="1">
        <f t="array" ref="F133">IF(
  INDEX(
    param_list_and_type!$F:$K,
    MATCH(1,
      (param_list_and_type!$A:$A=A133)*
      (param_list_and_type!$B:$B=B133)*
      (param_list_and_type!$C:$C=C133),
    0),
    MATCH(E133, param_list_and_type!$F$1:$K$1, 0)
  )="X",
"Yes",
"No"
)</f>
        <v>No</v>
      </c>
      <c r="G133" s="9">
        <v>0</v>
      </c>
      <c r="H133" s="9"/>
      <c r="I133" s="9"/>
      <c r="J133" s="9"/>
    </row>
    <row r="134" spans="1:10" hidden="1" x14ac:dyDescent="0.2">
      <c r="A134" s="9" t="s">
        <v>61</v>
      </c>
      <c r="B134" s="9" t="s">
        <v>68</v>
      </c>
      <c r="C134" s="9" t="s">
        <v>69</v>
      </c>
      <c r="D134" s="9" t="s">
        <v>70</v>
      </c>
      <c r="E134" s="9" t="s">
        <v>5</v>
      </c>
      <c r="F134" s="9" t="str" cm="1">
        <f t="array" ref="F134">IF(
  INDEX(
    param_list_and_type!$F:$K,
    MATCH(1,
      (param_list_and_type!$A:$A=A134)*
      (param_list_and_type!$B:$B=B134)*
      (param_list_and_type!$C:$C=C134),
    0),
    MATCH(E134, param_list_and_type!$F$1:$K$1, 0)
  )="X",
"Yes",
"No"
)</f>
        <v>No</v>
      </c>
      <c r="G134" s="9">
        <v>0</v>
      </c>
      <c r="I134" s="9"/>
    </row>
    <row r="135" spans="1:10" hidden="1" x14ac:dyDescent="0.2">
      <c r="A135" s="9" t="s">
        <v>61</v>
      </c>
      <c r="B135" s="9" t="s">
        <v>68</v>
      </c>
      <c r="C135" s="9" t="s">
        <v>69</v>
      </c>
      <c r="D135" s="9" t="s">
        <v>70</v>
      </c>
      <c r="E135" s="9" t="s">
        <v>6</v>
      </c>
      <c r="F135" s="9" t="str" cm="1">
        <f t="array" ref="F135">IF(
  INDEX(
    param_list_and_type!$F:$K,
    MATCH(1,
      (param_list_and_type!$A:$A=A135)*
      (param_list_and_type!$B:$B=B135)*
      (param_list_and_type!$C:$C=C135),
    0),
    MATCH(E135, param_list_and_type!$F$1:$K$1, 0)
  )="X",
"Yes",
"No"
)</f>
        <v>No</v>
      </c>
      <c r="G135" s="9">
        <v>0</v>
      </c>
      <c r="I135" s="9"/>
    </row>
    <row r="136" spans="1:10" x14ac:dyDescent="0.2">
      <c r="A136" s="9" t="s">
        <v>61</v>
      </c>
      <c r="B136" s="9" t="s">
        <v>68</v>
      </c>
      <c r="C136" s="9" t="s">
        <v>69</v>
      </c>
      <c r="D136" s="9" t="s">
        <v>70</v>
      </c>
      <c r="E136" s="11" t="s">
        <v>7</v>
      </c>
      <c r="F136" s="9" t="str" cm="1">
        <f t="array" ref="F136">IF(
  INDEX(
    param_list_and_type!$F:$K,
    MATCH(1,
      (param_list_and_type!$A:$A=A136)*
      (param_list_and_type!$B:$B=B136)*
      (param_list_and_type!$C:$C=C136),
    0),
    MATCH(E136, param_list_and_type!$F$1:$K$1, 0)
  )="X",
"Yes",
"No"
)</f>
        <v>Yes</v>
      </c>
    </row>
    <row r="137" spans="1:10" x14ac:dyDescent="0.2">
      <c r="A137" s="9" t="s">
        <v>61</v>
      </c>
      <c r="B137" s="9" t="s">
        <v>68</v>
      </c>
      <c r="C137" s="9" t="s">
        <v>69</v>
      </c>
      <c r="D137" s="9" t="s">
        <v>70</v>
      </c>
      <c r="E137" s="11" t="s">
        <v>8</v>
      </c>
      <c r="F137" s="9" t="str" cm="1">
        <f t="array" ref="F137">IF(
  INDEX(
    param_list_and_type!$F:$K,
    MATCH(1,
      (param_list_and_type!$A:$A=A137)*
      (param_list_and_type!$B:$B=B137)*
      (param_list_and_type!$C:$C=C137),
    0),
    MATCH(E137, param_list_and_type!$F$1:$K$1, 0)
  )="X",
"Yes",
"No"
)</f>
        <v>Yes</v>
      </c>
    </row>
    <row r="138" spans="1:10" hidden="1" x14ac:dyDescent="0.2">
      <c r="A138" s="9" t="s">
        <v>61</v>
      </c>
      <c r="B138" s="9" t="s">
        <v>68</v>
      </c>
      <c r="C138" s="9" t="s">
        <v>69</v>
      </c>
      <c r="D138" s="9" t="s">
        <v>70</v>
      </c>
      <c r="E138" s="11" t="s">
        <v>9</v>
      </c>
      <c r="F138" s="9" t="str" cm="1">
        <f t="array" ref="F138">IF(
  INDEX(
    param_list_and_type!$F:$K,
    MATCH(1,
      (param_list_and_type!$A:$A=A138)*
      (param_list_and_type!$B:$B=B138)*
      (param_list_and_type!$C:$C=C138),
    0),
    MATCH(E138, param_list_and_type!$F$1:$K$1, 0)
  )="X",
"Yes",
"No"
)</f>
        <v>No</v>
      </c>
      <c r="G138" s="9">
        <v>0</v>
      </c>
      <c r="I138" s="9"/>
    </row>
    <row r="139" spans="1:10" hidden="1" x14ac:dyDescent="0.2">
      <c r="A139" s="9" t="s">
        <v>61</v>
      </c>
      <c r="B139" s="9" t="s">
        <v>68</v>
      </c>
      <c r="C139" s="9" t="s">
        <v>69</v>
      </c>
      <c r="D139" s="9" t="s">
        <v>70</v>
      </c>
      <c r="E139" s="9" t="s">
        <v>10</v>
      </c>
      <c r="F139" s="9" t="str" cm="1">
        <f t="array" ref="F139">IF(
  INDEX(
    param_list_and_type!$F:$K,
    MATCH(1,
      (param_list_and_type!$A:$A=A139)*
      (param_list_and_type!$B:$B=B139)*
      (param_list_and_type!$C:$C=C139),
    0),
    MATCH(E139, param_list_and_type!$F$1:$K$1, 0)
  )="X",
"Yes",
"No"
)</f>
        <v>No</v>
      </c>
      <c r="G139" s="9">
        <v>0</v>
      </c>
      <c r="I139" s="9"/>
    </row>
    <row r="140" spans="1:10" hidden="1" x14ac:dyDescent="0.2">
      <c r="A140" s="9" t="s">
        <v>61</v>
      </c>
      <c r="B140" s="9" t="s">
        <v>68</v>
      </c>
      <c r="C140" s="9" t="s">
        <v>71</v>
      </c>
      <c r="D140" s="9" t="s">
        <v>72</v>
      </c>
      <c r="E140" s="9" t="s">
        <v>5</v>
      </c>
      <c r="F140" s="9" t="str" cm="1">
        <f t="array" ref="F140">IF(
  INDEX(
    param_list_and_type!$F:$K,
    MATCH(1,
      (param_list_and_type!$A:$A=A140)*
      (param_list_and_type!$B:$B=B140)*
      (param_list_and_type!$C:$C=C140),
    0),
    MATCH(E140, param_list_and_type!$F$1:$K$1, 0)
  )="X",
"Yes",
"No"
)</f>
        <v>No</v>
      </c>
      <c r="G140" s="9">
        <v>0</v>
      </c>
      <c r="I140" s="9"/>
    </row>
    <row r="141" spans="1:10" hidden="1" x14ac:dyDescent="0.2">
      <c r="A141" s="9" t="s">
        <v>61</v>
      </c>
      <c r="B141" s="9" t="s">
        <v>68</v>
      </c>
      <c r="C141" s="9" t="s">
        <v>71</v>
      </c>
      <c r="D141" s="9" t="s">
        <v>72</v>
      </c>
      <c r="E141" s="9" t="s">
        <v>6</v>
      </c>
      <c r="F141" s="9" t="str" cm="1">
        <f t="array" ref="F141">IF(
  INDEX(
    param_list_and_type!$F:$K,
    MATCH(1,
      (param_list_and_type!$A:$A=A141)*
      (param_list_and_type!$B:$B=B141)*
      (param_list_and_type!$C:$C=C141),
    0),
    MATCH(E141, param_list_and_type!$F$1:$K$1, 0)
  )="X",
"Yes",
"No"
)</f>
        <v>No</v>
      </c>
      <c r="G141" s="9">
        <v>0</v>
      </c>
      <c r="I141" s="9"/>
    </row>
    <row r="142" spans="1:10" x14ac:dyDescent="0.2">
      <c r="A142" s="9" t="s">
        <v>61</v>
      </c>
      <c r="B142" s="9" t="s">
        <v>68</v>
      </c>
      <c r="C142" s="9" t="s">
        <v>71</v>
      </c>
      <c r="D142" s="9" t="s">
        <v>72</v>
      </c>
      <c r="E142" s="11" t="s">
        <v>7</v>
      </c>
      <c r="F142" s="9" t="str" cm="1">
        <f t="array" ref="F142">IF(
  INDEX(
    param_list_and_type!$F:$K,
    MATCH(1,
      (param_list_and_type!$A:$A=A142)*
      (param_list_and_type!$B:$B=B142)*
      (param_list_and_type!$C:$C=C142),
    0),
    MATCH(E142, param_list_and_type!$F$1:$K$1, 0)
  )="X",
"Yes",
"No"
)</f>
        <v>Yes</v>
      </c>
    </row>
    <row r="143" spans="1:10" x14ac:dyDescent="0.2">
      <c r="A143" s="9" t="s">
        <v>61</v>
      </c>
      <c r="B143" s="9" t="s">
        <v>68</v>
      </c>
      <c r="C143" s="9" t="s">
        <v>71</v>
      </c>
      <c r="D143" s="9" t="s">
        <v>72</v>
      </c>
      <c r="E143" s="11" t="s">
        <v>8</v>
      </c>
      <c r="F143" s="9" t="str" cm="1">
        <f t="array" ref="F143">IF(
  INDEX(
    param_list_and_type!$F:$K,
    MATCH(1,
      (param_list_and_type!$A:$A=A143)*
      (param_list_and_type!$B:$B=B143)*
      (param_list_and_type!$C:$C=C143),
    0),
    MATCH(E143, param_list_and_type!$F$1:$K$1, 0)
  )="X",
"Yes",
"No"
)</f>
        <v>Yes</v>
      </c>
    </row>
    <row r="144" spans="1:10" hidden="1" x14ac:dyDescent="0.2">
      <c r="A144" s="9" t="s">
        <v>61</v>
      </c>
      <c r="B144" s="9" t="s">
        <v>68</v>
      </c>
      <c r="C144" s="9" t="s">
        <v>71</v>
      </c>
      <c r="D144" s="9" t="s">
        <v>72</v>
      </c>
      <c r="E144" s="11" t="s">
        <v>9</v>
      </c>
      <c r="F144" s="9" t="str" cm="1">
        <f t="array" ref="F144">IF(
  INDEX(
    param_list_and_type!$F:$K,
    MATCH(1,
      (param_list_and_type!$A:$A=A144)*
      (param_list_and_type!$B:$B=B144)*
      (param_list_and_type!$C:$C=C144),
    0),
    MATCH(E144, param_list_and_type!$F$1:$K$1, 0)
  )="X",
"Yes",
"No"
)</f>
        <v>No</v>
      </c>
      <c r="G144" s="9">
        <v>0</v>
      </c>
      <c r="I144" s="9"/>
    </row>
    <row r="145" spans="1:10" hidden="1" x14ac:dyDescent="0.2">
      <c r="A145" s="9" t="s">
        <v>61</v>
      </c>
      <c r="B145" s="9" t="s">
        <v>68</v>
      </c>
      <c r="C145" s="9" t="s">
        <v>71</v>
      </c>
      <c r="D145" s="9" t="s">
        <v>72</v>
      </c>
      <c r="E145" s="9" t="s">
        <v>10</v>
      </c>
      <c r="F145" s="9" t="str" cm="1">
        <f t="array" ref="F145">IF(
  INDEX(
    param_list_and_type!$F:$K,
    MATCH(1,
      (param_list_and_type!$A:$A=A145)*
      (param_list_and_type!$B:$B=B145)*
      (param_list_and_type!$C:$C=C145),
    0),
    MATCH(E145, param_list_and_type!$F$1:$K$1, 0)
  )="X",
"Yes",
"No"
)</f>
        <v>No</v>
      </c>
      <c r="G145" s="9">
        <v>0</v>
      </c>
      <c r="I145" s="9"/>
    </row>
    <row r="146" spans="1:10" hidden="1" x14ac:dyDescent="0.2">
      <c r="A146" s="9" t="s">
        <v>73</v>
      </c>
      <c r="B146" s="9" t="s">
        <v>74</v>
      </c>
      <c r="C146" s="9" t="s">
        <v>75</v>
      </c>
      <c r="D146" s="9" t="s">
        <v>76</v>
      </c>
      <c r="E146" s="9" t="s">
        <v>5</v>
      </c>
      <c r="F146" s="9" t="str" cm="1">
        <f t="array" ref="F146">IF(
  INDEX(
    param_list_and_type!$F:$K,
    MATCH(1,
      (param_list_and_type!$A:$A=A146)*
      (param_list_and_type!$B:$B=B146)*
      (param_list_and_type!$C:$C=C146),
    0),
    MATCH(E146, param_list_and_type!$F$1:$K$1, 0)
  )="X",
"Yes",
"No"
)</f>
        <v>No</v>
      </c>
      <c r="G146" s="9">
        <v>0</v>
      </c>
      <c r="I146" s="9"/>
    </row>
    <row r="147" spans="1:10" ht="102" x14ac:dyDescent="0.2">
      <c r="A147" s="9" t="s">
        <v>73</v>
      </c>
      <c r="B147" s="9" t="s">
        <v>74</v>
      </c>
      <c r="C147" s="9" t="s">
        <v>75</v>
      </c>
      <c r="D147" s="9" t="s">
        <v>76</v>
      </c>
      <c r="E147" s="9" t="s">
        <v>6</v>
      </c>
      <c r="F147" s="9" t="str" cm="1">
        <f t="array" ref="F147">IF(
  INDEX(
    param_list_and_type!$F:$K,
    MATCH(1,
      (param_list_and_type!$A:$A=A147)*
      (param_list_and_type!$B:$B=B147)*
      (param_list_and_type!$C:$C=C147),
    0),
    MATCH(E147, param_list_and_type!$F$1:$K$1, 0)
  )="X",
"Yes",
"No"
)</f>
        <v>Yes</v>
      </c>
      <c r="H147" s="13" t="s">
        <v>145</v>
      </c>
      <c r="I147" s="13" t="s">
        <v>147</v>
      </c>
      <c r="J147" s="13" t="s">
        <v>146</v>
      </c>
    </row>
    <row r="148" spans="1:10" hidden="1" x14ac:dyDescent="0.2">
      <c r="A148" s="9" t="s">
        <v>73</v>
      </c>
      <c r="B148" s="9" t="s">
        <v>74</v>
      </c>
      <c r="C148" s="9" t="s">
        <v>75</v>
      </c>
      <c r="D148" s="9" t="s">
        <v>76</v>
      </c>
      <c r="E148" s="11" t="s">
        <v>7</v>
      </c>
      <c r="F148" s="9" t="str" cm="1">
        <f t="array" ref="F148">IF(
  INDEX(
    param_list_and_type!$F:$K,
    MATCH(1,
      (param_list_and_type!$A:$A=A148)*
      (param_list_and_type!$B:$B=B148)*
      (param_list_and_type!$C:$C=C148),
    0),
    MATCH(E148, param_list_and_type!$F$1:$K$1, 0)
  )="X",
"Yes",
"No"
)</f>
        <v>No</v>
      </c>
      <c r="G148" s="9">
        <v>0</v>
      </c>
      <c r="I148" s="9"/>
    </row>
    <row r="149" spans="1:10" hidden="1" x14ac:dyDescent="0.2">
      <c r="A149" s="9" t="s">
        <v>73</v>
      </c>
      <c r="B149" s="9" t="s">
        <v>74</v>
      </c>
      <c r="C149" s="9" t="s">
        <v>75</v>
      </c>
      <c r="D149" s="9" t="s">
        <v>76</v>
      </c>
      <c r="E149" s="11" t="s">
        <v>8</v>
      </c>
      <c r="F149" s="9" t="str" cm="1">
        <f t="array" ref="F149">IF(
  INDEX(
    param_list_and_type!$F:$K,
    MATCH(1,
      (param_list_and_type!$A:$A=A149)*
      (param_list_and_type!$B:$B=B149)*
      (param_list_and_type!$C:$C=C149),
    0),
    MATCH(E149, param_list_and_type!$F$1:$K$1, 0)
  )="X",
"Yes",
"No"
)</f>
        <v>No</v>
      </c>
      <c r="G149" s="9">
        <v>0</v>
      </c>
      <c r="I149" s="9"/>
    </row>
    <row r="150" spans="1:10" hidden="1" x14ac:dyDescent="0.2">
      <c r="A150" s="9" t="s">
        <v>73</v>
      </c>
      <c r="B150" s="9" t="s">
        <v>74</v>
      </c>
      <c r="C150" s="9" t="s">
        <v>75</v>
      </c>
      <c r="D150" s="9" t="s">
        <v>76</v>
      </c>
      <c r="E150" s="11" t="s">
        <v>9</v>
      </c>
      <c r="F150" s="9" t="str" cm="1">
        <f t="array" ref="F150">IF(
  INDEX(
    param_list_and_type!$F:$K,
    MATCH(1,
      (param_list_and_type!$A:$A=A150)*
      (param_list_and_type!$B:$B=B150)*
      (param_list_and_type!$C:$C=C150),
    0),
    MATCH(E150, param_list_and_type!$F$1:$K$1, 0)
  )="X",
"Yes",
"No"
)</f>
        <v>No</v>
      </c>
      <c r="G150" s="9">
        <v>0</v>
      </c>
      <c r="I150" s="9"/>
    </row>
    <row r="151" spans="1:10" hidden="1" x14ac:dyDescent="0.2">
      <c r="A151" s="9" t="s">
        <v>73</v>
      </c>
      <c r="B151" s="9" t="s">
        <v>74</v>
      </c>
      <c r="C151" s="9" t="s">
        <v>75</v>
      </c>
      <c r="D151" s="9" t="s">
        <v>76</v>
      </c>
      <c r="E151" s="9" t="s">
        <v>10</v>
      </c>
      <c r="F151" s="9" t="str" cm="1">
        <f t="array" ref="F151">IF(
  INDEX(
    param_list_and_type!$F:$K,
    MATCH(1,
      (param_list_and_type!$A:$A=A151)*
      (param_list_and_type!$B:$B=B151)*
      (param_list_and_type!$C:$C=C151),
    0),
    MATCH(E151, param_list_and_type!$F$1:$K$1, 0)
  )="X",
"Yes",
"No"
)</f>
        <v>No</v>
      </c>
      <c r="G151" s="9">
        <v>0</v>
      </c>
      <c r="I151" s="9"/>
    </row>
    <row r="152" spans="1:10" x14ac:dyDescent="0.2">
      <c r="A152" s="9" t="s">
        <v>73</v>
      </c>
      <c r="B152" s="9" t="s">
        <v>77</v>
      </c>
      <c r="C152" s="9" t="s">
        <v>77</v>
      </c>
      <c r="D152" s="9" t="s">
        <v>78</v>
      </c>
      <c r="E152" s="9" t="s">
        <v>5</v>
      </c>
      <c r="F152" s="9" t="str" cm="1">
        <f t="array" ref="F152">IF(
  INDEX(
    param_list_and_type!$F:$K,
    MATCH(1,
      (param_list_and_type!$A:$A=A152)*
      (param_list_and_type!$B:$B=B152)*
      (param_list_and_type!$C:$C=C152),
    0),
    MATCH(E152, param_list_and_type!$F$1:$K$1, 0)
  )="X",
"Yes",
"No"
)</f>
        <v>Yes</v>
      </c>
    </row>
    <row r="153" spans="1:10" hidden="1" x14ac:dyDescent="0.2">
      <c r="A153" s="9" t="s">
        <v>73</v>
      </c>
      <c r="B153" s="9" t="s">
        <v>77</v>
      </c>
      <c r="C153" s="9" t="s">
        <v>77</v>
      </c>
      <c r="D153" s="9" t="s">
        <v>78</v>
      </c>
      <c r="E153" s="9" t="s">
        <v>6</v>
      </c>
      <c r="F153" s="9" t="str" cm="1">
        <f t="array" ref="F153">IF(
  INDEX(
    param_list_and_type!$F:$K,
    MATCH(1,
      (param_list_and_type!$A:$A=A153)*
      (param_list_and_type!$B:$B=B153)*
      (param_list_and_type!$C:$C=C153),
    0),
    MATCH(E153, param_list_and_type!$F$1:$K$1, 0)
  )="X",
"Yes",
"No"
)</f>
        <v>No</v>
      </c>
      <c r="G153" s="9">
        <v>0</v>
      </c>
      <c r="I153" s="9"/>
    </row>
    <row r="154" spans="1:10" hidden="1" x14ac:dyDescent="0.2">
      <c r="A154" s="9" t="s">
        <v>73</v>
      </c>
      <c r="B154" s="9" t="s">
        <v>77</v>
      </c>
      <c r="C154" s="9" t="s">
        <v>77</v>
      </c>
      <c r="D154" s="9" t="s">
        <v>78</v>
      </c>
      <c r="E154" s="11" t="s">
        <v>7</v>
      </c>
      <c r="F154" s="9" t="str" cm="1">
        <f t="array" ref="F154">IF(
  INDEX(
    param_list_and_type!$F:$K,
    MATCH(1,
      (param_list_and_type!$A:$A=A154)*
      (param_list_and_type!$B:$B=B154)*
      (param_list_and_type!$C:$C=C154),
    0),
    MATCH(E154, param_list_and_type!$F$1:$K$1, 0)
  )="X",
"Yes",
"No"
)</f>
        <v>No</v>
      </c>
      <c r="G154" s="9">
        <v>0</v>
      </c>
      <c r="I154" s="9"/>
    </row>
    <row r="155" spans="1:10" hidden="1" x14ac:dyDescent="0.2">
      <c r="A155" s="9" t="s">
        <v>73</v>
      </c>
      <c r="B155" s="9" t="s">
        <v>77</v>
      </c>
      <c r="C155" s="9" t="s">
        <v>77</v>
      </c>
      <c r="D155" s="9" t="s">
        <v>78</v>
      </c>
      <c r="E155" s="11" t="s">
        <v>8</v>
      </c>
      <c r="F155" s="9" t="str" cm="1">
        <f t="array" ref="F155">IF(
  INDEX(
    param_list_and_type!$F:$K,
    MATCH(1,
      (param_list_and_type!$A:$A=A155)*
      (param_list_and_type!$B:$B=B155)*
      (param_list_and_type!$C:$C=C155),
    0),
    MATCH(E155, param_list_and_type!$F$1:$K$1, 0)
  )="X",
"Yes",
"No"
)</f>
        <v>No</v>
      </c>
      <c r="G155" s="9">
        <v>0</v>
      </c>
      <c r="I155" s="9"/>
    </row>
    <row r="156" spans="1:10" hidden="1" x14ac:dyDescent="0.2">
      <c r="A156" s="9" t="s">
        <v>73</v>
      </c>
      <c r="B156" s="9" t="s">
        <v>77</v>
      </c>
      <c r="C156" s="9" t="s">
        <v>77</v>
      </c>
      <c r="D156" s="9" t="s">
        <v>78</v>
      </c>
      <c r="E156" s="11" t="s">
        <v>9</v>
      </c>
      <c r="F156" s="9" t="str" cm="1">
        <f t="array" ref="F156">IF(
  INDEX(
    param_list_and_type!$F:$K,
    MATCH(1,
      (param_list_and_type!$A:$A=A156)*
      (param_list_and_type!$B:$B=B156)*
      (param_list_and_type!$C:$C=C156),
    0),
    MATCH(E156, param_list_and_type!$F$1:$K$1, 0)
  )="X",
"Yes",
"No"
)</f>
        <v>No</v>
      </c>
      <c r="G156" s="9">
        <v>0</v>
      </c>
      <c r="I156" s="9"/>
    </row>
    <row r="157" spans="1:10" hidden="1" x14ac:dyDescent="0.2">
      <c r="A157" s="9" t="s">
        <v>73</v>
      </c>
      <c r="B157" s="9" t="s">
        <v>77</v>
      </c>
      <c r="C157" s="9" t="s">
        <v>77</v>
      </c>
      <c r="D157" s="9" t="s">
        <v>78</v>
      </c>
      <c r="E157" s="9" t="s">
        <v>10</v>
      </c>
      <c r="F157" s="9" t="str" cm="1">
        <f t="array" ref="F157">IF(
  INDEX(
    param_list_and_type!$F:$K,
    MATCH(1,
      (param_list_and_type!$A:$A=A157)*
      (param_list_and_type!$B:$B=B157)*
      (param_list_and_type!$C:$C=C157),
    0),
    MATCH(E157, param_list_and_type!$F$1:$K$1, 0)
  )="X",
"Yes",
"No"
)</f>
        <v>No</v>
      </c>
      <c r="G157" s="9">
        <v>0</v>
      </c>
      <c r="I157" s="9"/>
    </row>
    <row r="158" spans="1:10" x14ac:dyDescent="0.2">
      <c r="A158" s="9" t="s">
        <v>73</v>
      </c>
      <c r="B158" s="9" t="s">
        <v>79</v>
      </c>
      <c r="C158" s="9" t="s">
        <v>79</v>
      </c>
      <c r="D158" s="9" t="s">
        <v>80</v>
      </c>
      <c r="E158" s="9" t="s">
        <v>5</v>
      </c>
      <c r="F158" s="9" t="str" cm="1">
        <f t="array" ref="F158">IF(
  INDEX(
    param_list_and_type!$F:$K,
    MATCH(1,
      (param_list_and_type!$A:$A=A158)*
      (param_list_and_type!$B:$B=B158)*
      (param_list_and_type!$C:$C=C158),
    0),
    MATCH(E158, param_list_and_type!$F$1:$K$1, 0)
  )="X",
"Yes",
"No"
)</f>
        <v>Yes</v>
      </c>
    </row>
    <row r="159" spans="1:10" hidden="1" x14ac:dyDescent="0.2">
      <c r="A159" s="9" t="s">
        <v>73</v>
      </c>
      <c r="B159" s="9" t="s">
        <v>79</v>
      </c>
      <c r="C159" s="9" t="s">
        <v>79</v>
      </c>
      <c r="D159" s="9" t="s">
        <v>80</v>
      </c>
      <c r="E159" s="9" t="s">
        <v>6</v>
      </c>
      <c r="F159" s="9" t="str" cm="1">
        <f t="array" ref="F159">IF(
  INDEX(
    param_list_and_type!$F:$K,
    MATCH(1,
      (param_list_and_type!$A:$A=A159)*
      (param_list_and_type!$B:$B=B159)*
      (param_list_and_type!$C:$C=C159),
    0),
    MATCH(E159, param_list_and_type!$F$1:$K$1, 0)
  )="X",
"Yes",
"No"
)</f>
        <v>No</v>
      </c>
      <c r="G159" s="9">
        <v>0</v>
      </c>
      <c r="I159" s="9"/>
    </row>
    <row r="160" spans="1:10" hidden="1" x14ac:dyDescent="0.2">
      <c r="A160" s="9" t="s">
        <v>73</v>
      </c>
      <c r="B160" s="9" t="s">
        <v>79</v>
      </c>
      <c r="C160" s="9" t="s">
        <v>79</v>
      </c>
      <c r="D160" s="9" t="s">
        <v>80</v>
      </c>
      <c r="E160" s="11" t="s">
        <v>7</v>
      </c>
      <c r="F160" s="9" t="str" cm="1">
        <f t="array" ref="F160">IF(
  INDEX(
    param_list_and_type!$F:$K,
    MATCH(1,
      (param_list_and_type!$A:$A=A160)*
      (param_list_and_type!$B:$B=B160)*
      (param_list_and_type!$C:$C=C160),
    0),
    MATCH(E160, param_list_and_type!$F$1:$K$1, 0)
  )="X",
"Yes",
"No"
)</f>
        <v>No</v>
      </c>
      <c r="G160" s="9">
        <v>0</v>
      </c>
      <c r="I160" s="9"/>
    </row>
    <row r="161" spans="1:9" hidden="1" x14ac:dyDescent="0.2">
      <c r="A161" s="9" t="s">
        <v>73</v>
      </c>
      <c r="B161" s="9" t="s">
        <v>79</v>
      </c>
      <c r="C161" s="9" t="s">
        <v>79</v>
      </c>
      <c r="D161" s="9" t="s">
        <v>80</v>
      </c>
      <c r="E161" s="11" t="s">
        <v>8</v>
      </c>
      <c r="F161" s="9" t="str" cm="1">
        <f t="array" ref="F161">IF(
  INDEX(
    param_list_and_type!$F:$K,
    MATCH(1,
      (param_list_and_type!$A:$A=A161)*
      (param_list_and_type!$B:$B=B161)*
      (param_list_and_type!$C:$C=C161),
    0),
    MATCH(E161, param_list_and_type!$F$1:$K$1, 0)
  )="X",
"Yes",
"No"
)</f>
        <v>No</v>
      </c>
      <c r="G161" s="9">
        <v>0</v>
      </c>
      <c r="I161" s="9"/>
    </row>
    <row r="162" spans="1:9" hidden="1" x14ac:dyDescent="0.2">
      <c r="A162" s="9" t="s">
        <v>73</v>
      </c>
      <c r="B162" s="9" t="s">
        <v>79</v>
      </c>
      <c r="C162" s="9" t="s">
        <v>79</v>
      </c>
      <c r="D162" s="9" t="s">
        <v>80</v>
      </c>
      <c r="E162" s="11" t="s">
        <v>9</v>
      </c>
      <c r="F162" s="9" t="str" cm="1">
        <f t="array" ref="F162">IF(
  INDEX(
    param_list_and_type!$F:$K,
    MATCH(1,
      (param_list_and_type!$A:$A=A162)*
      (param_list_and_type!$B:$B=B162)*
      (param_list_and_type!$C:$C=C162),
    0),
    MATCH(E162, param_list_and_type!$F$1:$K$1, 0)
  )="X",
"Yes",
"No"
)</f>
        <v>No</v>
      </c>
      <c r="G162" s="9">
        <v>0</v>
      </c>
      <c r="I162" s="9"/>
    </row>
    <row r="163" spans="1:9" hidden="1" x14ac:dyDescent="0.2">
      <c r="A163" s="9" t="s">
        <v>73</v>
      </c>
      <c r="B163" s="9" t="s">
        <v>79</v>
      </c>
      <c r="C163" s="9" t="s">
        <v>79</v>
      </c>
      <c r="D163" s="9" t="s">
        <v>80</v>
      </c>
      <c r="E163" s="9" t="s">
        <v>10</v>
      </c>
      <c r="F163" s="9" t="str" cm="1">
        <f t="array" ref="F163">IF(
  INDEX(
    param_list_and_type!$F:$K,
    MATCH(1,
      (param_list_and_type!$A:$A=A163)*
      (param_list_and_type!$B:$B=B163)*
      (param_list_and_type!$C:$C=C163),
    0),
    MATCH(E163, param_list_and_type!$F$1:$K$1, 0)
  )="X",
"Yes",
"No"
)</f>
        <v>No</v>
      </c>
      <c r="G163" s="9">
        <v>0</v>
      </c>
      <c r="I163" s="9"/>
    </row>
    <row r="164" spans="1:9" x14ac:dyDescent="0.2">
      <c r="A164" s="9" t="s">
        <v>73</v>
      </c>
      <c r="B164" s="9" t="s">
        <v>81</v>
      </c>
      <c r="C164" s="9" t="s">
        <v>82</v>
      </c>
      <c r="D164" s="9" t="s">
        <v>83</v>
      </c>
      <c r="E164" s="9" t="s">
        <v>5</v>
      </c>
      <c r="F164" s="9" t="str" cm="1">
        <f t="array" ref="F164">IF(
  INDEX(
    param_list_and_type!$F:$K,
    MATCH(1,
      (param_list_and_type!$A:$A=A164)*
      (param_list_and_type!$B:$B=B164)*
      (param_list_and_type!$C:$C=C164),
    0),
    MATCH(E164, param_list_and_type!$F$1:$K$1, 0)
  )="X",
"Yes",
"No"
)</f>
        <v>Yes</v>
      </c>
    </row>
    <row r="165" spans="1:9" hidden="1" x14ac:dyDescent="0.2">
      <c r="A165" s="9" t="s">
        <v>73</v>
      </c>
      <c r="B165" s="9" t="s">
        <v>81</v>
      </c>
      <c r="C165" s="9" t="s">
        <v>82</v>
      </c>
      <c r="D165" s="9" t="s">
        <v>83</v>
      </c>
      <c r="E165" s="9" t="s">
        <v>6</v>
      </c>
      <c r="F165" s="9" t="str" cm="1">
        <f t="array" ref="F165">IF(
  INDEX(
    param_list_and_type!$F:$K,
    MATCH(1,
      (param_list_and_type!$A:$A=A165)*
      (param_list_and_type!$B:$B=B165)*
      (param_list_and_type!$C:$C=C165),
    0),
    MATCH(E165, param_list_and_type!$F$1:$K$1, 0)
  )="X",
"Yes",
"No"
)</f>
        <v>No</v>
      </c>
      <c r="G165" s="9">
        <v>0</v>
      </c>
      <c r="I165" s="9"/>
    </row>
    <row r="166" spans="1:9" hidden="1" x14ac:dyDescent="0.2">
      <c r="A166" s="9" t="s">
        <v>73</v>
      </c>
      <c r="B166" s="9" t="s">
        <v>81</v>
      </c>
      <c r="C166" s="9" t="s">
        <v>82</v>
      </c>
      <c r="D166" s="9" t="s">
        <v>83</v>
      </c>
      <c r="E166" s="11" t="s">
        <v>7</v>
      </c>
      <c r="F166" s="9" t="str" cm="1">
        <f t="array" ref="F166">IF(
  INDEX(
    param_list_and_type!$F:$K,
    MATCH(1,
      (param_list_and_type!$A:$A=A166)*
      (param_list_and_type!$B:$B=B166)*
      (param_list_and_type!$C:$C=C166),
    0),
    MATCH(E166, param_list_and_type!$F$1:$K$1, 0)
  )="X",
"Yes",
"No"
)</f>
        <v>No</v>
      </c>
      <c r="G166" s="9">
        <v>0</v>
      </c>
      <c r="I166" s="9"/>
    </row>
    <row r="167" spans="1:9" hidden="1" x14ac:dyDescent="0.2">
      <c r="A167" s="9" t="s">
        <v>73</v>
      </c>
      <c r="B167" s="9" t="s">
        <v>81</v>
      </c>
      <c r="C167" s="9" t="s">
        <v>82</v>
      </c>
      <c r="D167" s="9" t="s">
        <v>83</v>
      </c>
      <c r="E167" s="11" t="s">
        <v>8</v>
      </c>
      <c r="F167" s="9" t="str" cm="1">
        <f t="array" ref="F167">IF(
  INDEX(
    param_list_and_type!$F:$K,
    MATCH(1,
      (param_list_and_type!$A:$A=A167)*
      (param_list_and_type!$B:$B=B167)*
      (param_list_and_type!$C:$C=C167),
    0),
    MATCH(E167, param_list_and_type!$F$1:$K$1, 0)
  )="X",
"Yes",
"No"
)</f>
        <v>No</v>
      </c>
      <c r="G167" s="9">
        <v>0</v>
      </c>
      <c r="I167" s="9"/>
    </row>
    <row r="168" spans="1:9" hidden="1" x14ac:dyDescent="0.2">
      <c r="A168" s="9" t="s">
        <v>73</v>
      </c>
      <c r="B168" s="9" t="s">
        <v>81</v>
      </c>
      <c r="C168" s="9" t="s">
        <v>82</v>
      </c>
      <c r="D168" s="9" t="s">
        <v>83</v>
      </c>
      <c r="E168" s="11" t="s">
        <v>9</v>
      </c>
      <c r="F168" s="9" t="str" cm="1">
        <f t="array" ref="F168">IF(
  INDEX(
    param_list_and_type!$F:$K,
    MATCH(1,
      (param_list_and_type!$A:$A=A168)*
      (param_list_and_type!$B:$B=B168)*
      (param_list_and_type!$C:$C=C168),
    0),
    MATCH(E168, param_list_and_type!$F$1:$K$1, 0)
  )="X",
"Yes",
"No"
)</f>
        <v>No</v>
      </c>
      <c r="G168" s="9">
        <v>0</v>
      </c>
      <c r="I168" s="9"/>
    </row>
    <row r="169" spans="1:9" hidden="1" x14ac:dyDescent="0.2">
      <c r="A169" s="9" t="s">
        <v>73</v>
      </c>
      <c r="B169" s="9" t="s">
        <v>81</v>
      </c>
      <c r="C169" s="9" t="s">
        <v>82</v>
      </c>
      <c r="D169" s="9" t="s">
        <v>83</v>
      </c>
      <c r="E169" s="9" t="s">
        <v>10</v>
      </c>
      <c r="F169" s="9" t="str" cm="1">
        <f t="array" ref="F169">IF(
  INDEX(
    param_list_and_type!$F:$K,
    MATCH(1,
      (param_list_and_type!$A:$A=A169)*
      (param_list_and_type!$B:$B=B169)*
      (param_list_and_type!$C:$C=C169),
    0),
    MATCH(E169, param_list_and_type!$F$1:$K$1, 0)
  )="X",
"Yes",
"No"
)</f>
        <v>No</v>
      </c>
      <c r="G169" s="9">
        <v>0</v>
      </c>
      <c r="I169" s="9"/>
    </row>
    <row r="170" spans="1:9" x14ac:dyDescent="0.2">
      <c r="A170" s="9" t="s">
        <v>73</v>
      </c>
      <c r="B170" s="9" t="s">
        <v>81</v>
      </c>
      <c r="C170" s="9" t="s">
        <v>84</v>
      </c>
      <c r="D170" s="9" t="s">
        <v>85</v>
      </c>
      <c r="E170" s="9" t="s">
        <v>5</v>
      </c>
      <c r="F170" s="9" t="str" cm="1">
        <f t="array" ref="F170">IF(
  INDEX(
    param_list_and_type!$F:$K,
    MATCH(1,
      (param_list_and_type!$A:$A=A170)*
      (param_list_and_type!$B:$B=B170)*
      (param_list_and_type!$C:$C=C170),
    0),
    MATCH(E170, param_list_and_type!$F$1:$K$1, 0)
  )="X",
"Yes",
"No"
)</f>
        <v>Yes</v>
      </c>
    </row>
    <row r="171" spans="1:9" hidden="1" x14ac:dyDescent="0.2">
      <c r="A171" s="9" t="s">
        <v>73</v>
      </c>
      <c r="B171" s="9" t="s">
        <v>81</v>
      </c>
      <c r="C171" s="9" t="s">
        <v>84</v>
      </c>
      <c r="D171" s="9" t="s">
        <v>85</v>
      </c>
      <c r="E171" s="9" t="s">
        <v>6</v>
      </c>
      <c r="F171" s="9" t="str" cm="1">
        <f t="array" ref="F171">IF(
  INDEX(
    param_list_and_type!$F:$K,
    MATCH(1,
      (param_list_and_type!$A:$A=A171)*
      (param_list_and_type!$B:$B=B171)*
      (param_list_and_type!$C:$C=C171),
    0),
    MATCH(E171, param_list_and_type!$F$1:$K$1, 0)
  )="X",
"Yes",
"No"
)</f>
        <v>No</v>
      </c>
      <c r="G171" s="9">
        <v>0</v>
      </c>
      <c r="I171" s="9"/>
    </row>
    <row r="172" spans="1:9" hidden="1" x14ac:dyDescent="0.2">
      <c r="A172" s="9" t="s">
        <v>73</v>
      </c>
      <c r="B172" s="9" t="s">
        <v>81</v>
      </c>
      <c r="C172" s="9" t="s">
        <v>84</v>
      </c>
      <c r="D172" s="9" t="s">
        <v>85</v>
      </c>
      <c r="E172" s="11" t="s">
        <v>7</v>
      </c>
      <c r="F172" s="9" t="str" cm="1">
        <f t="array" ref="F172">IF(
  INDEX(
    param_list_and_type!$F:$K,
    MATCH(1,
      (param_list_and_type!$A:$A=A172)*
      (param_list_and_type!$B:$B=B172)*
      (param_list_and_type!$C:$C=C172),
    0),
    MATCH(E172, param_list_and_type!$F$1:$K$1, 0)
  )="X",
"Yes",
"No"
)</f>
        <v>No</v>
      </c>
      <c r="G172" s="9">
        <v>0</v>
      </c>
      <c r="I172" s="9"/>
    </row>
    <row r="173" spans="1:9" hidden="1" x14ac:dyDescent="0.2">
      <c r="A173" s="9" t="s">
        <v>73</v>
      </c>
      <c r="B173" s="9" t="s">
        <v>81</v>
      </c>
      <c r="C173" s="9" t="s">
        <v>84</v>
      </c>
      <c r="D173" s="9" t="s">
        <v>85</v>
      </c>
      <c r="E173" s="11" t="s">
        <v>8</v>
      </c>
      <c r="F173" s="9" t="str" cm="1">
        <f t="array" ref="F173">IF(
  INDEX(
    param_list_and_type!$F:$K,
    MATCH(1,
      (param_list_and_type!$A:$A=A173)*
      (param_list_and_type!$B:$B=B173)*
      (param_list_and_type!$C:$C=C173),
    0),
    MATCH(E173, param_list_and_type!$F$1:$K$1, 0)
  )="X",
"Yes",
"No"
)</f>
        <v>No</v>
      </c>
      <c r="G173" s="9">
        <v>0</v>
      </c>
      <c r="I173" s="9"/>
    </row>
    <row r="174" spans="1:9" hidden="1" x14ac:dyDescent="0.2">
      <c r="A174" s="9" t="s">
        <v>73</v>
      </c>
      <c r="B174" s="9" t="s">
        <v>81</v>
      </c>
      <c r="C174" s="9" t="s">
        <v>84</v>
      </c>
      <c r="D174" s="9" t="s">
        <v>85</v>
      </c>
      <c r="E174" s="11" t="s">
        <v>9</v>
      </c>
      <c r="F174" s="9" t="str" cm="1">
        <f t="array" ref="F174">IF(
  INDEX(
    param_list_and_type!$F:$K,
    MATCH(1,
      (param_list_and_type!$A:$A=A174)*
      (param_list_and_type!$B:$B=B174)*
      (param_list_and_type!$C:$C=C174),
    0),
    MATCH(E174, param_list_and_type!$F$1:$K$1, 0)
  )="X",
"Yes",
"No"
)</f>
        <v>No</v>
      </c>
      <c r="G174" s="9">
        <v>0</v>
      </c>
      <c r="I174" s="9"/>
    </row>
    <row r="175" spans="1:9" hidden="1" x14ac:dyDescent="0.2">
      <c r="A175" s="9" t="s">
        <v>73</v>
      </c>
      <c r="B175" s="9" t="s">
        <v>81</v>
      </c>
      <c r="C175" s="9" t="s">
        <v>84</v>
      </c>
      <c r="D175" s="9" t="s">
        <v>85</v>
      </c>
      <c r="E175" s="9" t="s">
        <v>10</v>
      </c>
      <c r="F175" s="9" t="str" cm="1">
        <f t="array" ref="F175">IF(
  INDEX(
    param_list_and_type!$F:$K,
    MATCH(1,
      (param_list_and_type!$A:$A=A175)*
      (param_list_and_type!$B:$B=B175)*
      (param_list_and_type!$C:$C=C175),
    0),
    MATCH(E175, param_list_and_type!$F$1:$K$1, 0)
  )="X",
"Yes",
"No"
)</f>
        <v>No</v>
      </c>
      <c r="G175" s="9">
        <v>0</v>
      </c>
      <c r="I175" s="9"/>
    </row>
    <row r="176" spans="1:9" x14ac:dyDescent="0.2">
      <c r="A176" s="9" t="s">
        <v>73</v>
      </c>
      <c r="B176" s="9" t="s">
        <v>81</v>
      </c>
      <c r="C176" s="9" t="s">
        <v>86</v>
      </c>
      <c r="D176" s="9" t="s">
        <v>87</v>
      </c>
      <c r="E176" s="9" t="s">
        <v>5</v>
      </c>
      <c r="F176" s="9" t="str" cm="1">
        <f t="array" ref="F176">IF(
  INDEX(
    param_list_and_type!$F:$K,
    MATCH(1,
      (param_list_and_type!$A:$A=A176)*
      (param_list_and_type!$B:$B=B176)*
      (param_list_and_type!$C:$C=C176),
    0),
    MATCH(E176, param_list_and_type!$F$1:$K$1, 0)
  )="X",
"Yes",
"No"
)</f>
        <v>Yes</v>
      </c>
    </row>
    <row r="177" spans="1:9" hidden="1" x14ac:dyDescent="0.2">
      <c r="A177" s="9" t="s">
        <v>73</v>
      </c>
      <c r="B177" s="9" t="s">
        <v>81</v>
      </c>
      <c r="C177" s="9" t="s">
        <v>86</v>
      </c>
      <c r="D177" s="9" t="s">
        <v>87</v>
      </c>
      <c r="E177" s="9" t="s">
        <v>6</v>
      </c>
      <c r="F177" s="9" t="str" cm="1">
        <f t="array" ref="F177">IF(
  INDEX(
    param_list_and_type!$F:$K,
    MATCH(1,
      (param_list_and_type!$A:$A=A177)*
      (param_list_and_type!$B:$B=B177)*
      (param_list_and_type!$C:$C=C177),
    0),
    MATCH(E177, param_list_and_type!$F$1:$K$1, 0)
  )="X",
"Yes",
"No"
)</f>
        <v>No</v>
      </c>
      <c r="G177" s="9">
        <v>0</v>
      </c>
      <c r="I177" s="9"/>
    </row>
    <row r="178" spans="1:9" hidden="1" x14ac:dyDescent="0.2">
      <c r="A178" s="9" t="s">
        <v>73</v>
      </c>
      <c r="B178" s="9" t="s">
        <v>81</v>
      </c>
      <c r="C178" s="9" t="s">
        <v>86</v>
      </c>
      <c r="D178" s="9" t="s">
        <v>87</v>
      </c>
      <c r="E178" s="11" t="s">
        <v>7</v>
      </c>
      <c r="F178" s="9" t="str" cm="1">
        <f t="array" ref="F178">IF(
  INDEX(
    param_list_and_type!$F:$K,
    MATCH(1,
      (param_list_and_type!$A:$A=A178)*
      (param_list_and_type!$B:$B=B178)*
      (param_list_and_type!$C:$C=C178),
    0),
    MATCH(E178, param_list_and_type!$F$1:$K$1, 0)
  )="X",
"Yes",
"No"
)</f>
        <v>No</v>
      </c>
      <c r="G178" s="9">
        <v>0</v>
      </c>
      <c r="I178" s="9"/>
    </row>
    <row r="179" spans="1:9" hidden="1" x14ac:dyDescent="0.2">
      <c r="A179" s="9" t="s">
        <v>73</v>
      </c>
      <c r="B179" s="9" t="s">
        <v>81</v>
      </c>
      <c r="C179" s="9" t="s">
        <v>86</v>
      </c>
      <c r="D179" s="9" t="s">
        <v>87</v>
      </c>
      <c r="E179" s="11" t="s">
        <v>8</v>
      </c>
      <c r="F179" s="9" t="str" cm="1">
        <f t="array" ref="F179">IF(
  INDEX(
    param_list_and_type!$F:$K,
    MATCH(1,
      (param_list_and_type!$A:$A=A179)*
      (param_list_and_type!$B:$B=B179)*
      (param_list_and_type!$C:$C=C179),
    0),
    MATCH(E179, param_list_and_type!$F$1:$K$1, 0)
  )="X",
"Yes",
"No"
)</f>
        <v>No</v>
      </c>
      <c r="G179" s="9">
        <v>0</v>
      </c>
      <c r="I179" s="9"/>
    </row>
    <row r="180" spans="1:9" hidden="1" x14ac:dyDescent="0.2">
      <c r="A180" s="9" t="s">
        <v>73</v>
      </c>
      <c r="B180" s="9" t="s">
        <v>81</v>
      </c>
      <c r="C180" s="9" t="s">
        <v>86</v>
      </c>
      <c r="D180" s="9" t="s">
        <v>87</v>
      </c>
      <c r="E180" s="11" t="s">
        <v>9</v>
      </c>
      <c r="F180" s="9" t="str" cm="1">
        <f t="array" ref="F180">IF(
  INDEX(
    param_list_and_type!$F:$K,
    MATCH(1,
      (param_list_and_type!$A:$A=A180)*
      (param_list_and_type!$B:$B=B180)*
      (param_list_and_type!$C:$C=C180),
    0),
    MATCH(E180, param_list_and_type!$F$1:$K$1, 0)
  )="X",
"Yes",
"No"
)</f>
        <v>No</v>
      </c>
      <c r="G180" s="9">
        <v>0</v>
      </c>
      <c r="I180" s="9"/>
    </row>
    <row r="181" spans="1:9" hidden="1" x14ac:dyDescent="0.2">
      <c r="A181" s="9" t="s">
        <v>73</v>
      </c>
      <c r="B181" s="9" t="s">
        <v>81</v>
      </c>
      <c r="C181" s="9" t="s">
        <v>86</v>
      </c>
      <c r="D181" s="9" t="s">
        <v>87</v>
      </c>
      <c r="E181" s="9" t="s">
        <v>10</v>
      </c>
      <c r="F181" s="9" t="str" cm="1">
        <f t="array" ref="F181">IF(
  INDEX(
    param_list_and_type!$F:$K,
    MATCH(1,
      (param_list_and_type!$A:$A=A181)*
      (param_list_and_type!$B:$B=B181)*
      (param_list_and_type!$C:$C=C181),
    0),
    MATCH(E181, param_list_and_type!$F$1:$K$1, 0)
  )="X",
"Yes",
"No"
)</f>
        <v>No</v>
      </c>
      <c r="G181" s="9">
        <v>0</v>
      </c>
      <c r="I181" s="9"/>
    </row>
    <row r="182" spans="1:9" x14ac:dyDescent="0.2">
      <c r="A182" s="9" t="s">
        <v>73</v>
      </c>
      <c r="B182" s="9" t="s">
        <v>88</v>
      </c>
      <c r="C182" s="9" t="s">
        <v>88</v>
      </c>
      <c r="D182" s="9" t="s">
        <v>89</v>
      </c>
      <c r="E182" s="9" t="s">
        <v>5</v>
      </c>
      <c r="F182" s="9" t="str" cm="1">
        <f t="array" ref="F182">IF(
  INDEX(
    param_list_and_type!$F:$K,
    MATCH(1,
      (param_list_and_type!$A:$A=A182)*
      (param_list_and_type!$B:$B=B182)*
      (param_list_and_type!$C:$C=C182),
    0),
    MATCH(E182, param_list_and_type!$F$1:$K$1, 0)
  )="X",
"Yes",
"No"
)</f>
        <v>Yes</v>
      </c>
    </row>
    <row r="183" spans="1:9" hidden="1" x14ac:dyDescent="0.2">
      <c r="A183" s="9" t="s">
        <v>73</v>
      </c>
      <c r="B183" s="9" t="s">
        <v>88</v>
      </c>
      <c r="C183" s="9" t="s">
        <v>88</v>
      </c>
      <c r="D183" s="9" t="s">
        <v>89</v>
      </c>
      <c r="E183" s="9" t="s">
        <v>6</v>
      </c>
      <c r="F183" s="9" t="str" cm="1">
        <f t="array" ref="F183">IF(
  INDEX(
    param_list_and_type!$F:$K,
    MATCH(1,
      (param_list_and_type!$A:$A=A183)*
      (param_list_and_type!$B:$B=B183)*
      (param_list_and_type!$C:$C=C183),
    0),
    MATCH(E183, param_list_and_type!$F$1:$K$1, 0)
  )="X",
"Yes",
"No"
)</f>
        <v>No</v>
      </c>
      <c r="G183" s="9">
        <v>0</v>
      </c>
      <c r="I183" s="9"/>
    </row>
    <row r="184" spans="1:9" hidden="1" x14ac:dyDescent="0.2">
      <c r="A184" s="9" t="s">
        <v>73</v>
      </c>
      <c r="B184" s="9" t="s">
        <v>88</v>
      </c>
      <c r="C184" s="9" t="s">
        <v>88</v>
      </c>
      <c r="D184" s="9" t="s">
        <v>89</v>
      </c>
      <c r="E184" s="11" t="s">
        <v>7</v>
      </c>
      <c r="F184" s="9" t="str" cm="1">
        <f t="array" ref="F184">IF(
  INDEX(
    param_list_and_type!$F:$K,
    MATCH(1,
      (param_list_and_type!$A:$A=A184)*
      (param_list_and_type!$B:$B=B184)*
      (param_list_and_type!$C:$C=C184),
    0),
    MATCH(E184, param_list_and_type!$F$1:$K$1, 0)
  )="X",
"Yes",
"No"
)</f>
        <v>No</v>
      </c>
      <c r="G184" s="9">
        <v>0</v>
      </c>
      <c r="I184" s="9"/>
    </row>
    <row r="185" spans="1:9" hidden="1" x14ac:dyDescent="0.2">
      <c r="A185" s="9" t="s">
        <v>73</v>
      </c>
      <c r="B185" s="9" t="s">
        <v>88</v>
      </c>
      <c r="C185" s="9" t="s">
        <v>88</v>
      </c>
      <c r="D185" s="9" t="s">
        <v>89</v>
      </c>
      <c r="E185" s="11" t="s">
        <v>8</v>
      </c>
      <c r="F185" s="9" t="str" cm="1">
        <f t="array" ref="F185">IF(
  INDEX(
    param_list_and_type!$F:$K,
    MATCH(1,
      (param_list_and_type!$A:$A=A185)*
      (param_list_and_type!$B:$B=B185)*
      (param_list_and_type!$C:$C=C185),
    0),
    MATCH(E185, param_list_and_type!$F$1:$K$1, 0)
  )="X",
"Yes",
"No"
)</f>
        <v>No</v>
      </c>
      <c r="G185" s="9">
        <v>0</v>
      </c>
      <c r="I185" s="9"/>
    </row>
    <row r="186" spans="1:9" hidden="1" x14ac:dyDescent="0.2">
      <c r="A186" s="9" t="s">
        <v>73</v>
      </c>
      <c r="B186" s="9" t="s">
        <v>88</v>
      </c>
      <c r="C186" s="9" t="s">
        <v>88</v>
      </c>
      <c r="D186" s="9" t="s">
        <v>89</v>
      </c>
      <c r="E186" s="11" t="s">
        <v>9</v>
      </c>
      <c r="F186" s="9" t="str" cm="1">
        <f t="array" ref="F186">IF(
  INDEX(
    param_list_and_type!$F:$K,
    MATCH(1,
      (param_list_and_type!$A:$A=A186)*
      (param_list_and_type!$B:$B=B186)*
      (param_list_and_type!$C:$C=C186),
    0),
    MATCH(E186, param_list_and_type!$F$1:$K$1, 0)
  )="X",
"Yes",
"No"
)</f>
        <v>No</v>
      </c>
      <c r="G186" s="9">
        <v>0</v>
      </c>
      <c r="I186" s="9"/>
    </row>
    <row r="187" spans="1:9" hidden="1" x14ac:dyDescent="0.2">
      <c r="A187" s="9" t="s">
        <v>73</v>
      </c>
      <c r="B187" s="9" t="s">
        <v>88</v>
      </c>
      <c r="C187" s="9" t="s">
        <v>88</v>
      </c>
      <c r="D187" s="9" t="s">
        <v>89</v>
      </c>
      <c r="E187" s="9" t="s">
        <v>10</v>
      </c>
      <c r="F187" s="9" t="str" cm="1">
        <f t="array" ref="F187">IF(
  INDEX(
    param_list_and_type!$F:$K,
    MATCH(1,
      (param_list_and_type!$A:$A=A187)*
      (param_list_and_type!$B:$B=B187)*
      (param_list_and_type!$C:$C=C187),
    0),
    MATCH(E187, param_list_and_type!$F$1:$K$1, 0)
  )="X",
"Yes",
"No"
)</f>
        <v>No</v>
      </c>
      <c r="G187" s="9">
        <v>0</v>
      </c>
      <c r="I187" s="9"/>
    </row>
    <row r="188" spans="1:9" hidden="1" x14ac:dyDescent="0.2">
      <c r="A188" s="9" t="s">
        <v>91</v>
      </c>
      <c r="B188" s="9" t="s">
        <v>92</v>
      </c>
      <c r="D188" s="9" t="s">
        <v>93</v>
      </c>
      <c r="E188" s="9" t="s">
        <v>5</v>
      </c>
      <c r="F188" s="9" t="str" cm="1">
        <f t="array" ref="F188">IF(
  INDEX(
    param_list_and_type!$F:$K,
    MATCH(1,
      (param_list_and_type!$A:$A=A188)*
      (param_list_and_type!$B:$B=B188)*
      (param_list_and_type!$C:$C=C188),
    0),
    MATCH(E188, param_list_and_type!$F$1:$K$1, 0)
  )="X",
"Yes",
"No"
)</f>
        <v>No</v>
      </c>
      <c r="G188" s="9">
        <v>0</v>
      </c>
      <c r="I188" s="9"/>
    </row>
    <row r="189" spans="1:9" x14ac:dyDescent="0.2">
      <c r="A189" s="9" t="s">
        <v>91</v>
      </c>
      <c r="B189" s="9" t="s">
        <v>92</v>
      </c>
      <c r="D189" s="9" t="s">
        <v>93</v>
      </c>
      <c r="E189" s="9" t="s">
        <v>6</v>
      </c>
      <c r="F189" s="9" t="str" cm="1">
        <f t="array" ref="F189">IF(
  INDEX(
    param_list_and_type!$F:$K,
    MATCH(1,
      (param_list_and_type!$A:$A=A189)*
      (param_list_and_type!$B:$B=B189)*
      (param_list_and_type!$C:$C=C189),
    0),
    MATCH(E189, param_list_and_type!$F$1:$K$1, 0)
  )="X",
"Yes",
"No"
)</f>
        <v>Yes</v>
      </c>
    </row>
    <row r="190" spans="1:9" x14ac:dyDescent="0.2">
      <c r="A190" s="9" t="s">
        <v>91</v>
      </c>
      <c r="B190" s="9" t="s">
        <v>92</v>
      </c>
      <c r="D190" s="9" t="s">
        <v>93</v>
      </c>
      <c r="E190" s="11" t="s">
        <v>7</v>
      </c>
      <c r="F190" s="9" t="str" cm="1">
        <f t="array" ref="F190">IF(
  INDEX(
    param_list_and_type!$F:$K,
    MATCH(1,
      (param_list_and_type!$A:$A=A190)*
      (param_list_and_type!$B:$B=B190)*
      (param_list_and_type!$C:$C=C190),
    0),
    MATCH(E190, param_list_and_type!$F$1:$K$1, 0)
  )="X",
"Yes",
"No"
)</f>
        <v>Yes</v>
      </c>
    </row>
    <row r="191" spans="1:9" hidden="1" x14ac:dyDescent="0.2">
      <c r="A191" s="9" t="s">
        <v>91</v>
      </c>
      <c r="B191" s="9" t="s">
        <v>92</v>
      </c>
      <c r="D191" s="9" t="s">
        <v>93</v>
      </c>
      <c r="E191" s="11" t="s">
        <v>8</v>
      </c>
      <c r="F191" s="9" t="str" cm="1">
        <f t="array" ref="F191">IF(
  INDEX(
    param_list_and_type!$F:$K,
    MATCH(1,
      (param_list_and_type!$A:$A=A191)*
      (param_list_and_type!$B:$B=B191)*
      (param_list_and_type!$C:$C=C191),
    0),
    MATCH(E191, param_list_and_type!$F$1:$K$1, 0)
  )="X",
"Yes",
"No"
)</f>
        <v>No</v>
      </c>
      <c r="G191" s="9">
        <v>0</v>
      </c>
      <c r="I191" s="9"/>
    </row>
    <row r="192" spans="1:9" hidden="1" x14ac:dyDescent="0.2">
      <c r="A192" s="9" t="s">
        <v>91</v>
      </c>
      <c r="B192" s="9" t="s">
        <v>92</v>
      </c>
      <c r="D192" s="9" t="s">
        <v>93</v>
      </c>
      <c r="E192" s="11" t="s">
        <v>9</v>
      </c>
      <c r="F192" s="9" t="str" cm="1">
        <f t="array" ref="F192">IF(
  INDEX(
    param_list_and_type!$F:$K,
    MATCH(1,
      (param_list_and_type!$A:$A=A192)*
      (param_list_and_type!$B:$B=B192)*
      (param_list_and_type!$C:$C=C192),
    0),
    MATCH(E192, param_list_and_type!$F$1:$K$1, 0)
  )="X",
"Yes",
"No"
)</f>
        <v>No</v>
      </c>
      <c r="G192" s="9">
        <v>0</v>
      </c>
      <c r="I192" s="9"/>
    </row>
    <row r="193" spans="1:10" hidden="1" x14ac:dyDescent="0.2">
      <c r="A193" s="9" t="s">
        <v>91</v>
      </c>
      <c r="B193" s="9" t="s">
        <v>92</v>
      </c>
      <c r="D193" s="9" t="s">
        <v>93</v>
      </c>
      <c r="E193" s="9" t="s">
        <v>10</v>
      </c>
      <c r="F193" s="9" t="str" cm="1">
        <f t="array" ref="F193">IF(
  INDEX(
    param_list_and_type!$F:$K,
    MATCH(1,
      (param_list_and_type!$A:$A=A193)*
      (param_list_and_type!$B:$B=B193)*
      (param_list_and_type!$C:$C=C193),
    0),
    MATCH(E193, param_list_and_type!$F$1:$K$1, 0)
  )="X",
"Yes",
"No"
)</f>
        <v>No</v>
      </c>
      <c r="G193" s="9">
        <v>0</v>
      </c>
      <c r="I193" s="9"/>
    </row>
    <row r="194" spans="1:10" hidden="1" x14ac:dyDescent="0.2">
      <c r="A194" s="9" t="s">
        <v>91</v>
      </c>
      <c r="B194" s="9" t="s">
        <v>94</v>
      </c>
      <c r="D194" s="9" t="s">
        <v>95</v>
      </c>
      <c r="E194" s="9" t="s">
        <v>5</v>
      </c>
      <c r="F194" s="9" t="str" cm="1">
        <f t="array" ref="F194">IF(
  INDEX(
    param_list_and_type!$F:$K,
    MATCH(1,
      (param_list_and_type!$A:$A=A194)*
      (param_list_and_type!$B:$B=B194)*
      (param_list_and_type!$C:$C=C194),
    0),
    MATCH(E194, param_list_and_type!$F$1:$K$1, 0)
  )="X",
"Yes",
"No"
)</f>
        <v>No</v>
      </c>
      <c r="G194" s="9">
        <v>0</v>
      </c>
      <c r="I194" s="9"/>
    </row>
    <row r="195" spans="1:10" hidden="1" x14ac:dyDescent="0.2">
      <c r="A195" s="9" t="s">
        <v>91</v>
      </c>
      <c r="B195" s="9" t="s">
        <v>94</v>
      </c>
      <c r="D195" s="9" t="s">
        <v>95</v>
      </c>
      <c r="E195" s="9" t="s">
        <v>6</v>
      </c>
      <c r="F195" s="9" t="str" cm="1">
        <f t="array" ref="F195">IF(
  INDEX(
    param_list_and_type!$F:$K,
    MATCH(1,
      (param_list_and_type!$A:$A=A195)*
      (param_list_and_type!$B:$B=B195)*
      (param_list_and_type!$C:$C=C195),
    0),
    MATCH(E195, param_list_and_type!$F$1:$K$1, 0)
  )="X",
"Yes",
"No"
)</f>
        <v>No</v>
      </c>
      <c r="G195" s="9">
        <v>0</v>
      </c>
      <c r="I195" s="9"/>
    </row>
    <row r="196" spans="1:10" x14ac:dyDescent="0.2">
      <c r="A196" s="9" t="s">
        <v>91</v>
      </c>
      <c r="B196" s="9" t="s">
        <v>94</v>
      </c>
      <c r="D196" s="9" t="s">
        <v>95</v>
      </c>
      <c r="E196" s="11" t="s">
        <v>7</v>
      </c>
      <c r="F196" s="9" t="str" cm="1">
        <f t="array" ref="F196">IF(
  INDEX(
    param_list_and_type!$F:$K,
    MATCH(1,
      (param_list_and_type!$A:$A=A196)*
      (param_list_and_type!$B:$B=B196)*
      (param_list_and_type!$C:$C=C196),
    0),
    MATCH(E196, param_list_and_type!$F$1:$K$1, 0)
  )="X",
"Yes",
"No"
)</f>
        <v>Yes</v>
      </c>
    </row>
    <row r="197" spans="1:10" hidden="1" x14ac:dyDescent="0.2">
      <c r="A197" s="9" t="s">
        <v>91</v>
      </c>
      <c r="B197" s="9" t="s">
        <v>94</v>
      </c>
      <c r="D197" s="9" t="s">
        <v>95</v>
      </c>
      <c r="E197" s="11" t="s">
        <v>8</v>
      </c>
      <c r="F197" s="9" t="str" cm="1">
        <f t="array" ref="F197">IF(
  INDEX(
    param_list_and_type!$F:$K,
    MATCH(1,
      (param_list_and_type!$A:$A=A197)*
      (param_list_and_type!$B:$B=B197)*
      (param_list_and_type!$C:$C=C197),
    0),
    MATCH(E197, param_list_and_type!$F$1:$K$1, 0)
  )="X",
"Yes",
"No"
)</f>
        <v>No</v>
      </c>
      <c r="G197" s="9">
        <v>0</v>
      </c>
      <c r="I197" s="9"/>
    </row>
    <row r="198" spans="1:10" x14ac:dyDescent="0.2">
      <c r="A198" s="9" t="s">
        <v>91</v>
      </c>
      <c r="B198" s="9" t="s">
        <v>94</v>
      </c>
      <c r="D198" s="9" t="s">
        <v>95</v>
      </c>
      <c r="E198" s="11" t="s">
        <v>9</v>
      </c>
      <c r="F198" s="9" t="str" cm="1">
        <f t="array" ref="F198">IF(
  INDEX(
    param_list_and_type!$F:$K,
    MATCH(1,
      (param_list_and_type!$A:$A=A198)*
      (param_list_and_type!$B:$B=B198)*
      (param_list_and_type!$C:$C=C198),
    0),
    MATCH(E198, param_list_and_type!$F$1:$K$1, 0)
  )="X",
"Yes",
"No"
)</f>
        <v>Yes</v>
      </c>
    </row>
    <row r="199" spans="1:10" hidden="1" x14ac:dyDescent="0.2">
      <c r="A199" s="9" t="s">
        <v>91</v>
      </c>
      <c r="B199" s="9" t="s">
        <v>94</v>
      </c>
      <c r="D199" s="9" t="s">
        <v>95</v>
      </c>
      <c r="E199" s="9" t="s">
        <v>10</v>
      </c>
      <c r="F199" s="9" t="str" cm="1">
        <f t="array" ref="F199">IF(
  INDEX(
    param_list_and_type!$F:$K,
    MATCH(1,
      (param_list_and_type!$A:$A=A199)*
      (param_list_and_type!$B:$B=B199)*
      (param_list_and_type!$C:$C=C199),
    0),
    MATCH(E199, param_list_and_type!$F$1:$K$1, 0)
  )="X",
"Yes",
"No"
)</f>
        <v>No</v>
      </c>
      <c r="G199" s="9">
        <v>0</v>
      </c>
      <c r="I199" s="9"/>
    </row>
    <row r="200" spans="1:10" s="10" customFormat="1" hidden="1" x14ac:dyDescent="0.2">
      <c r="A200" s="10" t="s">
        <v>91</v>
      </c>
      <c r="B200" s="10" t="s">
        <v>96</v>
      </c>
      <c r="D200" s="10" t="s">
        <v>97</v>
      </c>
      <c r="E200" s="10" t="s">
        <v>5</v>
      </c>
      <c r="F200" s="9" t="str" cm="1">
        <f t="array" ref="F200">IF(
  INDEX(
    param_list_and_type!$F:$K,
    MATCH(1,
      (param_list_and_type!$A:$A=A200)*
      (param_list_and_type!$B:$B=B200)*
      (param_list_and_type!$C:$C=C200),
    0),
    MATCH(E200, param_list_and_type!$F$1:$K$1, 0)
  )="X",
"Yes",
"No"
)</f>
        <v>No</v>
      </c>
      <c r="G200" s="9">
        <v>0</v>
      </c>
      <c r="H200" s="9"/>
      <c r="I200" s="9"/>
      <c r="J200" s="9"/>
    </row>
    <row r="201" spans="1:10" s="10" customFormat="1" x14ac:dyDescent="0.2">
      <c r="A201" s="10" t="s">
        <v>91</v>
      </c>
      <c r="B201" s="10" t="s">
        <v>96</v>
      </c>
      <c r="D201" s="10" t="s">
        <v>97</v>
      </c>
      <c r="E201" s="10" t="s">
        <v>6</v>
      </c>
      <c r="F201" s="9" t="str" cm="1">
        <f t="array" ref="F201">IF(
  INDEX(
    param_list_and_type!$F:$K,
    MATCH(1,
      (param_list_and_type!$A:$A=A201)*
      (param_list_and_type!$B:$B=B201)*
      (param_list_and_type!$C:$C=C201),
    0),
    MATCH(E201, param_list_and_type!$F$1:$K$1, 0)
  )="X",
"Yes",
"No"
)</f>
        <v>Yes</v>
      </c>
      <c r="I201" s="14"/>
    </row>
    <row r="202" spans="1:10" s="10" customFormat="1" hidden="1" x14ac:dyDescent="0.2">
      <c r="A202" s="10" t="s">
        <v>91</v>
      </c>
      <c r="B202" s="10" t="s">
        <v>96</v>
      </c>
      <c r="D202" s="10" t="s">
        <v>97</v>
      </c>
      <c r="E202" s="12" t="s">
        <v>7</v>
      </c>
      <c r="F202" s="9" t="str" cm="1">
        <f t="array" ref="F202">IF(
  INDEX(
    param_list_and_type!$F:$K,
    MATCH(1,
      (param_list_and_type!$A:$A=A202)*
      (param_list_and_type!$B:$B=B202)*
      (param_list_and_type!$C:$C=C202),
    0),
    MATCH(E202, param_list_and_type!$F$1:$K$1, 0)
  )="X",
"Yes",
"No"
)</f>
        <v>No</v>
      </c>
      <c r="G202" s="9">
        <v>0</v>
      </c>
      <c r="H202" s="9"/>
      <c r="I202" s="9"/>
      <c r="J202" s="9"/>
    </row>
    <row r="203" spans="1:10" s="10" customFormat="1" x14ac:dyDescent="0.2">
      <c r="A203" s="10" t="s">
        <v>91</v>
      </c>
      <c r="B203" s="10" t="s">
        <v>96</v>
      </c>
      <c r="D203" s="10" t="s">
        <v>97</v>
      </c>
      <c r="E203" s="12" t="s">
        <v>8</v>
      </c>
      <c r="F203" s="9" t="str" cm="1">
        <f t="array" ref="F203">IF(
  INDEX(
    param_list_and_type!$F:$K,
    MATCH(1,
      (param_list_and_type!$A:$A=A203)*
      (param_list_and_type!$B:$B=B203)*
      (param_list_and_type!$C:$C=C203),
    0),
    MATCH(E203, param_list_and_type!$F$1:$K$1, 0)
  )="X",
"Yes",
"No"
)</f>
        <v>Yes</v>
      </c>
      <c r="I203" s="14"/>
    </row>
    <row r="204" spans="1:10" s="10" customFormat="1" hidden="1" x14ac:dyDescent="0.2">
      <c r="A204" s="10" t="s">
        <v>91</v>
      </c>
      <c r="B204" s="10" t="s">
        <v>96</v>
      </c>
      <c r="D204" s="10" t="s">
        <v>97</v>
      </c>
      <c r="E204" s="12" t="s">
        <v>9</v>
      </c>
      <c r="F204" s="9" t="str" cm="1">
        <f t="array" ref="F204">IF(
  INDEX(
    param_list_and_type!$F:$K,
    MATCH(1,
      (param_list_and_type!$A:$A=A204)*
      (param_list_and_type!$B:$B=B204)*
      (param_list_and_type!$C:$C=C204),
    0),
    MATCH(E204, param_list_and_type!$F$1:$K$1, 0)
  )="X",
"Yes",
"No"
)</f>
        <v>No</v>
      </c>
      <c r="G204" s="9">
        <v>0</v>
      </c>
      <c r="H204" s="9"/>
      <c r="I204" s="9"/>
      <c r="J204" s="9"/>
    </row>
    <row r="205" spans="1:10" s="10" customFormat="1" hidden="1" x14ac:dyDescent="0.2">
      <c r="A205" s="10" t="s">
        <v>91</v>
      </c>
      <c r="B205" s="10" t="s">
        <v>96</v>
      </c>
      <c r="D205" s="10" t="s">
        <v>97</v>
      </c>
      <c r="E205" s="10" t="s">
        <v>10</v>
      </c>
      <c r="F205" s="9" t="str" cm="1">
        <f t="array" ref="F205">IF(
  INDEX(
    param_list_and_type!$F:$K,
    MATCH(1,
      (param_list_and_type!$A:$A=A205)*
      (param_list_and_type!$B:$B=B205)*
      (param_list_and_type!$C:$C=C205),
    0),
    MATCH(E205, param_list_and_type!$F$1:$K$1, 0)
  )="X",
"Yes",
"No"
)</f>
        <v>No</v>
      </c>
      <c r="G205" s="9">
        <v>0</v>
      </c>
      <c r="H205" s="9"/>
      <c r="I205" s="9"/>
      <c r="J205" s="9"/>
    </row>
  </sheetData>
  <autoFilter ref="A1:L205" xr:uid="{58B67A41-5C08-024B-8E12-B539DFD980B2}">
    <filterColumn colId="5">
      <filters>
        <filter val="Yes"/>
      </filters>
    </filterColumn>
  </autoFilter>
  <phoneticPr fontId="3" type="noConversion"/>
  <hyperlinks>
    <hyperlink ref="J55" r:id="rId1" xr:uid="{F2C214AB-2443-4043-95E3-E9FB92EFBA7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B620-F4DF-C944-9DE6-37E48F558719}">
  <dimension ref="A1:C25"/>
  <sheetViews>
    <sheetView workbookViewId="0">
      <selection activeCell="B7" sqref="B7"/>
    </sheetView>
  </sheetViews>
  <sheetFormatPr baseColWidth="10" defaultRowHeight="16" x14ac:dyDescent="0.2"/>
  <cols>
    <col min="1" max="1" width="26.1640625" bestFit="1" customWidth="1"/>
  </cols>
  <sheetData>
    <row r="1" spans="1:3" x14ac:dyDescent="0.2">
      <c r="A1" t="s">
        <v>132</v>
      </c>
    </row>
    <row r="2" spans="1:3" x14ac:dyDescent="0.2">
      <c r="A2" t="s">
        <v>131</v>
      </c>
    </row>
    <row r="3" spans="1:3" x14ac:dyDescent="0.2">
      <c r="A3" t="s">
        <v>138</v>
      </c>
    </row>
    <row r="4" spans="1:3" x14ac:dyDescent="0.2">
      <c r="A4" t="s">
        <v>139</v>
      </c>
    </row>
    <row r="5" spans="1:3" x14ac:dyDescent="0.2">
      <c r="A5" t="s">
        <v>155</v>
      </c>
      <c r="B5" t="s">
        <v>151</v>
      </c>
      <c r="C5" t="s">
        <v>152</v>
      </c>
    </row>
    <row r="6" spans="1:3" x14ac:dyDescent="0.2">
      <c r="A6" t="s">
        <v>150</v>
      </c>
      <c r="B6" t="s">
        <v>153</v>
      </c>
      <c r="C6" t="s">
        <v>154</v>
      </c>
    </row>
    <row r="7" spans="1:3" x14ac:dyDescent="0.2">
      <c r="A7" t="s">
        <v>160</v>
      </c>
    </row>
    <row r="25" spans="1:1" x14ac:dyDescent="0.2">
      <c r="A25">
        <f>630000/40800000</f>
        <v>1.5441176470588236E-2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EB35-7EE8-BE4D-9B8E-69F9F2C4B9B0}">
  <dimension ref="A1:F206"/>
  <sheetViews>
    <sheetView workbookViewId="0">
      <selection activeCell="F11" sqref="F11"/>
    </sheetView>
  </sheetViews>
  <sheetFormatPr baseColWidth="10" defaultColWidth="11" defaultRowHeight="16" x14ac:dyDescent="0.2"/>
  <cols>
    <col min="1" max="1" width="18.33203125" style="3" bestFit="1" customWidth="1"/>
    <col min="2" max="3" width="18.33203125" style="3" customWidth="1"/>
    <col min="4" max="4" width="37" style="3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128</v>
      </c>
      <c r="F1" s="3" t="s">
        <v>125</v>
      </c>
    </row>
    <row r="2" spans="1:6" x14ac:dyDescent="0.2">
      <c r="A2" s="3" t="s">
        <v>11</v>
      </c>
      <c r="B2" s="3" t="s">
        <v>12</v>
      </c>
      <c r="C2" s="3" t="s">
        <v>13</v>
      </c>
      <c r="D2" s="3" t="s">
        <v>14</v>
      </c>
    </row>
    <row r="3" spans="1:6" x14ac:dyDescent="0.2">
      <c r="A3" s="3" t="s">
        <v>11</v>
      </c>
      <c r="B3" s="3" t="s">
        <v>12</v>
      </c>
      <c r="C3" s="3" t="s">
        <v>17</v>
      </c>
      <c r="D3" s="3" t="s">
        <v>18</v>
      </c>
    </row>
    <row r="4" spans="1:6" x14ac:dyDescent="0.2">
      <c r="A4" s="3" t="s">
        <v>11</v>
      </c>
      <c r="B4" s="3" t="s">
        <v>12</v>
      </c>
      <c r="C4" s="3" t="s">
        <v>19</v>
      </c>
      <c r="D4" s="3" t="s">
        <v>20</v>
      </c>
    </row>
    <row r="5" spans="1:6" x14ac:dyDescent="0.2">
      <c r="A5" s="3" t="s">
        <v>11</v>
      </c>
      <c r="B5" s="3" t="s">
        <v>21</v>
      </c>
      <c r="C5" s="3" t="s">
        <v>22</v>
      </c>
      <c r="D5" s="3" t="s">
        <v>23</v>
      </c>
    </row>
    <row r="6" spans="1:6" x14ac:dyDescent="0.2">
      <c r="A6" s="3" t="s">
        <v>11</v>
      </c>
      <c r="B6" s="3" t="s">
        <v>24</v>
      </c>
      <c r="C6" s="3" t="s">
        <v>24</v>
      </c>
      <c r="D6" s="3" t="s">
        <v>25</v>
      </c>
    </row>
    <row r="7" spans="1:6" x14ac:dyDescent="0.2">
      <c r="A7" s="3" t="s">
        <v>11</v>
      </c>
      <c r="B7" s="3" t="s">
        <v>27</v>
      </c>
      <c r="C7" s="3" t="s">
        <v>28</v>
      </c>
      <c r="D7" s="3" t="s">
        <v>29</v>
      </c>
    </row>
    <row r="8" spans="1:6" x14ac:dyDescent="0.2">
      <c r="A8" s="3" t="s">
        <v>11</v>
      </c>
      <c r="B8" s="3" t="s">
        <v>27</v>
      </c>
      <c r="C8" s="3" t="s">
        <v>30</v>
      </c>
      <c r="D8" s="3" t="s">
        <v>31</v>
      </c>
    </row>
    <row r="9" spans="1:6" x14ac:dyDescent="0.2">
      <c r="A9" s="3" t="s">
        <v>11</v>
      </c>
      <c r="B9" s="3" t="s">
        <v>32</v>
      </c>
      <c r="C9" s="3" t="s">
        <v>33</v>
      </c>
      <c r="D9" s="3" t="s">
        <v>34</v>
      </c>
    </row>
    <row r="10" spans="1:6" x14ac:dyDescent="0.2">
      <c r="A10" s="3" t="s">
        <v>11</v>
      </c>
      <c r="B10" s="3" t="s">
        <v>32</v>
      </c>
      <c r="C10" s="3" t="s">
        <v>35</v>
      </c>
      <c r="D10" s="3" t="s">
        <v>36</v>
      </c>
    </row>
    <row r="11" spans="1:6" x14ac:dyDescent="0.2">
      <c r="A11" s="1" t="s">
        <v>11</v>
      </c>
      <c r="B11" s="1" t="s">
        <v>32</v>
      </c>
      <c r="C11" s="1" t="s">
        <v>37</v>
      </c>
      <c r="D11" s="1" t="s">
        <v>38</v>
      </c>
    </row>
    <row r="12" spans="1:6" x14ac:dyDescent="0.2">
      <c r="A12" s="3" t="s">
        <v>11</v>
      </c>
      <c r="B12" s="3" t="s">
        <v>32</v>
      </c>
      <c r="C12" s="3" t="s">
        <v>39</v>
      </c>
      <c r="D12" s="3" t="s">
        <v>40</v>
      </c>
    </row>
    <row r="13" spans="1:6" x14ac:dyDescent="0.2">
      <c r="A13" s="3" t="s">
        <v>11</v>
      </c>
      <c r="B13" s="3" t="s">
        <v>41</v>
      </c>
      <c r="C13" s="3" t="s">
        <v>42</v>
      </c>
      <c r="D13" s="3" t="s">
        <v>43</v>
      </c>
    </row>
    <row r="14" spans="1:6" x14ac:dyDescent="0.2">
      <c r="A14" s="3" t="s">
        <v>11</v>
      </c>
      <c r="B14" s="3" t="s">
        <v>41</v>
      </c>
      <c r="C14" s="3" t="s">
        <v>44</v>
      </c>
      <c r="D14" s="3" t="s">
        <v>45</v>
      </c>
    </row>
    <row r="15" spans="1:6" x14ac:dyDescent="0.2">
      <c r="A15" s="3" t="s">
        <v>11</v>
      </c>
      <c r="B15" s="3" t="s">
        <v>41</v>
      </c>
      <c r="C15" s="3" t="s">
        <v>46</v>
      </c>
      <c r="D15" s="3" t="s">
        <v>47</v>
      </c>
    </row>
    <row r="16" spans="1:6" x14ac:dyDescent="0.2">
      <c r="A16" s="3" t="s">
        <v>11</v>
      </c>
      <c r="B16" s="3" t="s">
        <v>41</v>
      </c>
      <c r="C16" s="3" t="s">
        <v>48</v>
      </c>
      <c r="D16" s="3" t="s">
        <v>49</v>
      </c>
    </row>
    <row r="17" spans="1:4" x14ac:dyDescent="0.2">
      <c r="A17" s="3" t="s">
        <v>11</v>
      </c>
      <c r="B17" s="3" t="s">
        <v>50</v>
      </c>
      <c r="C17" s="3" t="s">
        <v>51</v>
      </c>
      <c r="D17" s="3" t="s">
        <v>52</v>
      </c>
    </row>
    <row r="18" spans="1:4" x14ac:dyDescent="0.2">
      <c r="A18" s="1" t="s">
        <v>11</v>
      </c>
      <c r="B18" s="1" t="s">
        <v>54</v>
      </c>
      <c r="C18" s="1" t="s">
        <v>55</v>
      </c>
      <c r="D18" s="1" t="s">
        <v>56</v>
      </c>
    </row>
    <row r="19" spans="1:4" x14ac:dyDescent="0.2">
      <c r="A19" s="1" t="s">
        <v>11</v>
      </c>
      <c r="B19" s="1" t="s">
        <v>54</v>
      </c>
      <c r="C19" s="1" t="s">
        <v>57</v>
      </c>
      <c r="D19" s="1" t="s">
        <v>58</v>
      </c>
    </row>
    <row r="20" spans="1:4" x14ac:dyDescent="0.2">
      <c r="A20" s="3" t="s">
        <v>11</v>
      </c>
      <c r="B20" s="3" t="s">
        <v>54</v>
      </c>
      <c r="C20" s="3" t="s">
        <v>59</v>
      </c>
      <c r="D20" s="3" t="s">
        <v>60</v>
      </c>
    </row>
    <row r="21" spans="1:4" x14ac:dyDescent="0.2">
      <c r="A21" s="3" t="s">
        <v>61</v>
      </c>
      <c r="B21" s="3" t="s">
        <v>62</v>
      </c>
      <c r="C21" s="3" t="s">
        <v>62</v>
      </c>
      <c r="D21" s="3" t="s">
        <v>63</v>
      </c>
    </row>
    <row r="22" spans="1:4" x14ac:dyDescent="0.2">
      <c r="A22" s="3" t="s">
        <v>61</v>
      </c>
      <c r="B22" s="3" t="s">
        <v>64</v>
      </c>
      <c r="C22" s="3" t="s">
        <v>64</v>
      </c>
      <c r="D22" s="3" t="s">
        <v>65</v>
      </c>
    </row>
    <row r="23" spans="1:4" x14ac:dyDescent="0.2">
      <c r="A23" s="1" t="s">
        <v>61</v>
      </c>
      <c r="B23" s="1" t="s">
        <v>66</v>
      </c>
      <c r="C23" s="1" t="s">
        <v>66</v>
      </c>
      <c r="D23" s="1" t="s">
        <v>67</v>
      </c>
    </row>
    <row r="24" spans="1:4" x14ac:dyDescent="0.2">
      <c r="A24" s="3" t="s">
        <v>61</v>
      </c>
      <c r="B24" s="3" t="s">
        <v>68</v>
      </c>
      <c r="C24" s="3" t="s">
        <v>69</v>
      </c>
      <c r="D24" s="3" t="s">
        <v>70</v>
      </c>
    </row>
    <row r="25" spans="1:4" x14ac:dyDescent="0.2">
      <c r="A25" s="3" t="s">
        <v>61</v>
      </c>
      <c r="B25" s="3" t="s">
        <v>68</v>
      </c>
      <c r="C25" s="3" t="s">
        <v>71</v>
      </c>
      <c r="D25" s="3" t="s">
        <v>72</v>
      </c>
    </row>
    <row r="26" spans="1:4" x14ac:dyDescent="0.2">
      <c r="A26" s="3" t="s">
        <v>73</v>
      </c>
      <c r="B26" s="3" t="s">
        <v>74</v>
      </c>
      <c r="C26" s="3" t="s">
        <v>75</v>
      </c>
      <c r="D26" s="3" t="s">
        <v>76</v>
      </c>
    </row>
    <row r="27" spans="1:4" x14ac:dyDescent="0.2">
      <c r="A27" s="3" t="s">
        <v>73</v>
      </c>
      <c r="B27" s="3" t="s">
        <v>77</v>
      </c>
      <c r="C27" s="3" t="s">
        <v>77</v>
      </c>
      <c r="D27" s="3" t="s">
        <v>78</v>
      </c>
    </row>
    <row r="28" spans="1:4" x14ac:dyDescent="0.2">
      <c r="A28" s="3" t="s">
        <v>73</v>
      </c>
      <c r="B28" s="3" t="s">
        <v>79</v>
      </c>
      <c r="C28" s="3" t="s">
        <v>79</v>
      </c>
      <c r="D28" s="3" t="s">
        <v>80</v>
      </c>
    </row>
    <row r="29" spans="1:4" x14ac:dyDescent="0.2">
      <c r="A29" s="3" t="s">
        <v>73</v>
      </c>
      <c r="B29" s="3" t="s">
        <v>81</v>
      </c>
      <c r="C29" s="3" t="s">
        <v>82</v>
      </c>
      <c r="D29" s="3" t="s">
        <v>83</v>
      </c>
    </row>
    <row r="30" spans="1:4" x14ac:dyDescent="0.2">
      <c r="A30" s="3" t="s">
        <v>73</v>
      </c>
      <c r="B30" s="3" t="s">
        <v>81</v>
      </c>
      <c r="C30" s="3" t="s">
        <v>84</v>
      </c>
      <c r="D30" s="3" t="s">
        <v>85</v>
      </c>
    </row>
    <row r="31" spans="1:4" x14ac:dyDescent="0.2">
      <c r="A31" s="3" t="s">
        <v>73</v>
      </c>
      <c r="B31" s="3" t="s">
        <v>81</v>
      </c>
      <c r="C31" s="3" t="s">
        <v>86</v>
      </c>
      <c r="D31" s="3" t="s">
        <v>87</v>
      </c>
    </row>
    <row r="32" spans="1:4" x14ac:dyDescent="0.2">
      <c r="A32" s="3" t="s">
        <v>73</v>
      </c>
      <c r="B32" s="3" t="s">
        <v>88</v>
      </c>
      <c r="C32" s="3" t="s">
        <v>88</v>
      </c>
      <c r="D32" s="3" t="s">
        <v>89</v>
      </c>
    </row>
    <row r="33" spans="1:4" x14ac:dyDescent="0.2">
      <c r="A33" s="3" t="s">
        <v>91</v>
      </c>
      <c r="B33" s="3" t="s">
        <v>92</v>
      </c>
      <c r="D33" s="3" t="s">
        <v>93</v>
      </c>
    </row>
    <row r="34" spans="1:4" x14ac:dyDescent="0.2">
      <c r="A34" s="3" t="s">
        <v>91</v>
      </c>
      <c r="B34" s="3" t="s">
        <v>94</v>
      </c>
      <c r="D34" s="3" t="s">
        <v>95</v>
      </c>
    </row>
    <row r="35" spans="1:4" x14ac:dyDescent="0.2">
      <c r="A35" s="3" t="s">
        <v>91</v>
      </c>
      <c r="B35" s="3" t="s">
        <v>96</v>
      </c>
      <c r="D35" s="3" t="s">
        <v>97</v>
      </c>
    </row>
    <row r="37" spans="1:4" x14ac:dyDescent="0.2">
      <c r="A37"/>
      <c r="B37"/>
      <c r="C37"/>
      <c r="D37"/>
    </row>
    <row r="38" spans="1:4" x14ac:dyDescent="0.2">
      <c r="A38"/>
      <c r="B38"/>
      <c r="C38"/>
      <c r="D38"/>
    </row>
    <row r="39" spans="1:4" x14ac:dyDescent="0.2">
      <c r="A39"/>
      <c r="B39"/>
      <c r="C39"/>
      <c r="D39"/>
    </row>
    <row r="40" spans="1:4" x14ac:dyDescent="0.2">
      <c r="A40"/>
      <c r="B40"/>
      <c r="C40"/>
      <c r="D40"/>
    </row>
    <row r="41" spans="1:4" x14ac:dyDescent="0.2">
      <c r="A41"/>
      <c r="B41"/>
      <c r="C41"/>
      <c r="D41"/>
    </row>
    <row r="42" spans="1:4" x14ac:dyDescent="0.2">
      <c r="A42"/>
      <c r="B42"/>
      <c r="C42"/>
      <c r="D42"/>
    </row>
    <row r="43" spans="1:4" x14ac:dyDescent="0.2">
      <c r="A43"/>
      <c r="B43"/>
      <c r="C43"/>
      <c r="D43"/>
    </row>
    <row r="44" spans="1:4" x14ac:dyDescent="0.2">
      <c r="A44"/>
      <c r="B44"/>
      <c r="C44"/>
      <c r="D44"/>
    </row>
    <row r="45" spans="1:4" x14ac:dyDescent="0.2">
      <c r="A45"/>
      <c r="B45"/>
      <c r="C45"/>
      <c r="D45"/>
    </row>
    <row r="46" spans="1:4" x14ac:dyDescent="0.2">
      <c r="A46"/>
      <c r="B46"/>
      <c r="C46"/>
      <c r="D46"/>
    </row>
    <row r="47" spans="1:4" x14ac:dyDescent="0.2">
      <c r="A47"/>
      <c r="B47"/>
      <c r="C47"/>
      <c r="D47"/>
    </row>
    <row r="48" spans="1:4" x14ac:dyDescent="0.2">
      <c r="A48"/>
      <c r="B48"/>
      <c r="C48"/>
      <c r="D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param_list_and_type</vt:lpstr>
      <vt:lpstr>tier_plus_updated</vt:lpstr>
      <vt:lpstr>tier_plus_30Jan</vt:lpstr>
      <vt:lpstr>baseline_data</vt:lpstr>
      <vt:lpstr>params_effect</vt:lpstr>
      <vt:lpstr>other_key_values</vt:lpstr>
      <vt:lpstr>params_cost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de Nooy</dc:creator>
  <cp:keywords/>
  <dc:description/>
  <cp:lastModifiedBy>Alex de Nooy</cp:lastModifiedBy>
  <cp:revision/>
  <dcterms:created xsi:type="dcterms:W3CDTF">2026-01-08T11:07:04Z</dcterms:created>
  <dcterms:modified xsi:type="dcterms:W3CDTF">2026-01-30T16:38:53Z</dcterms:modified>
  <cp:category/>
  <cp:contentStatus/>
</cp:coreProperties>
</file>