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tier_app/"/>
    </mc:Choice>
  </mc:AlternateContent>
  <xr:revisionPtr revIDLastSave="3" documentId="8_{FF824D0A-09E8-A447-AAAA-EA621607EBA0}" xr6:coauthVersionLast="47" xr6:coauthVersionMax="47" xr10:uidLastSave="{6DAD3C2B-0A60-7F45-B0A1-742A21198A40}"/>
  <bookViews>
    <workbookView xWindow="1980" yWindow="2600" windowWidth="26440" windowHeight="14120" xr2:uid="{975D5DF3-D3BF-754D-81DB-B40F3BDACA28}"/>
  </bookViews>
  <sheets>
    <sheet name="TAPS S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23" i="1"/>
  <c r="G8" i="1"/>
  <c r="G11" i="1" s="1"/>
  <c r="C7" i="1"/>
  <c r="C6" i="1"/>
  <c r="G2" i="1"/>
  <c r="G3" i="1"/>
  <c r="G4" i="1"/>
  <c r="G5" i="1"/>
  <c r="G6" i="1"/>
  <c r="G7" i="1"/>
  <c r="C4" i="1"/>
  <c r="C3" i="1"/>
</calcChain>
</file>

<file path=xl/sharedStrings.xml><?xml version="1.0" encoding="utf-8"?>
<sst xmlns="http://schemas.openxmlformats.org/spreadsheetml/2006/main" count="15" uniqueCount="15">
  <si>
    <t>People</t>
  </si>
  <si>
    <t>Time</t>
  </si>
  <si>
    <t>Loss</t>
  </si>
  <si>
    <t>Month</t>
  </si>
  <si>
    <t>people getting</t>
  </si>
  <si>
    <t>Prep time</t>
  </si>
  <si>
    <t>Time fram</t>
  </si>
  <si>
    <t>0-1 month</t>
  </si>
  <si>
    <t>1-3 month</t>
  </si>
  <si>
    <t>3-6 month</t>
  </si>
  <si>
    <t>6-9 month</t>
  </si>
  <si>
    <t>9-12 month</t>
  </si>
  <si>
    <t>12 months</t>
  </si>
  <si>
    <t>https://pmc.ncbi.nlm.nih.gov/articles/PMC5697804/#sec011</t>
  </si>
  <si>
    <t>Averg time on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</si>
</sst>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318621</xdr:colOff>
      <xdr:row>1</xdr:row>
      <xdr:rowOff>165100</xdr:rowOff>
    </xdr:from>
    <xdr:to>
      <xdr:col>16</xdr:col>
      <xdr:colOff>228600</xdr:colOff>
      <xdr:row>17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E92C9-735D-EBCB-0006-C695829B9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6121" y="368300"/>
          <a:ext cx="7339479" cy="311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mc.ncbi.nlm.nih.gov/articles/PMC56978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D293-4C51-FC47-9879-245AD9EE8ECE}">
  <dimension ref="A1:G26"/>
  <sheetViews>
    <sheetView tabSelected="1" workbookViewId="0">
      <selection activeCell="A17" sqref="A17"/>
    </sheetView>
  </sheetViews>
  <sheetFormatPr baseColWidth="10" defaultRowHeight="16" x14ac:dyDescent="0.2"/>
  <cols>
    <col min="4" max="4" width="20.83203125" bestFit="1" customWidth="1"/>
    <col min="5" max="5" width="12.5" bestFit="1" customWidth="1"/>
  </cols>
  <sheetData>
    <row r="1" spans="1:7" x14ac:dyDescent="0.2">
      <c r="A1" t="s">
        <v>3</v>
      </c>
      <c r="B1" t="s">
        <v>0</v>
      </c>
      <c r="C1" t="s">
        <v>2</v>
      </c>
      <c r="D1" t="s">
        <v>6</v>
      </c>
      <c r="E1" t="s">
        <v>4</v>
      </c>
      <c r="F1" t="s">
        <v>1</v>
      </c>
      <c r="G1" t="s">
        <v>5</v>
      </c>
    </row>
    <row r="2" spans="1:7" x14ac:dyDescent="0.2">
      <c r="A2">
        <v>0</v>
      </c>
      <c r="B2">
        <v>219</v>
      </c>
      <c r="G2">
        <f t="shared" ref="G2:G6" si="0">E2*F2</f>
        <v>0</v>
      </c>
    </row>
    <row r="3" spans="1:7" x14ac:dyDescent="0.2">
      <c r="A3">
        <v>1</v>
      </c>
      <c r="B3">
        <v>117</v>
      </c>
      <c r="C3">
        <f>B2-B3</f>
        <v>102</v>
      </c>
      <c r="D3" t="s">
        <v>7</v>
      </c>
      <c r="E3">
        <v>102</v>
      </c>
      <c r="F3">
        <v>0.5</v>
      </c>
      <c r="G3">
        <f t="shared" si="0"/>
        <v>51</v>
      </c>
    </row>
    <row r="4" spans="1:7" x14ac:dyDescent="0.2">
      <c r="A4">
        <v>3</v>
      </c>
      <c r="B4">
        <v>96</v>
      </c>
      <c r="C4">
        <f>B3-B4</f>
        <v>21</v>
      </c>
      <c r="D4" s="2" t="s">
        <v>8</v>
      </c>
      <c r="E4">
        <v>21</v>
      </c>
      <c r="F4">
        <v>2</v>
      </c>
      <c r="G4">
        <f t="shared" si="0"/>
        <v>42</v>
      </c>
    </row>
    <row r="5" spans="1:7" x14ac:dyDescent="0.2">
      <c r="A5" s="1">
        <v>6</v>
      </c>
      <c r="B5">
        <v>66</v>
      </c>
      <c r="C5">
        <v>30</v>
      </c>
      <c r="D5" t="s">
        <v>9</v>
      </c>
      <c r="E5">
        <v>30</v>
      </c>
      <c r="F5">
        <v>4.5</v>
      </c>
      <c r="G5">
        <f t="shared" si="0"/>
        <v>135</v>
      </c>
    </row>
    <row r="6" spans="1:7" x14ac:dyDescent="0.2">
      <c r="A6">
        <v>9</v>
      </c>
      <c r="B6">
        <v>57</v>
      </c>
      <c r="C6">
        <f>B5-B6</f>
        <v>9</v>
      </c>
      <c r="D6" t="s">
        <v>10</v>
      </c>
      <c r="E6">
        <v>8</v>
      </c>
      <c r="F6">
        <v>7.5</v>
      </c>
      <c r="G6">
        <f t="shared" si="0"/>
        <v>60</v>
      </c>
    </row>
    <row r="7" spans="1:7" x14ac:dyDescent="0.2">
      <c r="A7">
        <v>12</v>
      </c>
      <c r="B7">
        <v>49</v>
      </c>
      <c r="C7">
        <f>B6-B7</f>
        <v>8</v>
      </c>
      <c r="D7" s="2" t="s">
        <v>11</v>
      </c>
      <c r="E7">
        <v>8</v>
      </c>
      <c r="F7">
        <v>10.5</v>
      </c>
      <c r="G7">
        <f>E7*F7</f>
        <v>84</v>
      </c>
    </row>
    <row r="8" spans="1:7" x14ac:dyDescent="0.2">
      <c r="C8">
        <v>49</v>
      </c>
      <c r="D8" t="s">
        <v>12</v>
      </c>
      <c r="E8">
        <v>49</v>
      </c>
      <c r="F8">
        <v>12</v>
      </c>
      <c r="G8">
        <f>E8*F8</f>
        <v>588</v>
      </c>
    </row>
    <row r="11" spans="1:7" x14ac:dyDescent="0.2">
      <c r="E11" t="s">
        <v>14</v>
      </c>
      <c r="G11">
        <f>G8/219</f>
        <v>2.6849315068493151</v>
      </c>
    </row>
    <row r="17" spans="1:4" x14ac:dyDescent="0.2">
      <c r="A17" s="3" t="s">
        <v>13</v>
      </c>
    </row>
    <row r="23" spans="1:4" x14ac:dyDescent="0.2">
      <c r="D23">
        <f>72/4</f>
        <v>18</v>
      </c>
    </row>
    <row r="26" spans="1:4" x14ac:dyDescent="0.2">
      <c r="D26">
        <f>852/3355</f>
        <v>0.25394932935916542</v>
      </c>
    </row>
  </sheetData>
  <hyperlinks>
    <hyperlink ref="A17" r:id="rId1" location="sec011" xr:uid="{02EA51B0-582A-CB48-9CB2-5B7BB20A7FE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TAPS 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2026-04-21T13:28:07Z</dcterms:created>
  <dcterms:modified xsi:type="dcterms:W3CDTF">2026-04-22T09:22:55Z</dcterms:modified>
</cp:coreProperties>
</file>