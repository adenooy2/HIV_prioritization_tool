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874A67E1-27A8-D041-8EAA-4F05A3D092C6}" xr6:coauthVersionLast="47" xr6:coauthVersionMax="47" xr10:uidLastSave="{00000000-0000-0000-0000-000000000000}"/>
  <bookViews>
    <workbookView xWindow="3600" yWindow="620" windowWidth="25200" windowHeight="158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 calcCompleted="0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7" i="2" l="1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D16" i="2"/>
  <c r="D19" i="2"/>
  <c r="D18" i="2"/>
  <c r="L55" i="2" l="1"/>
  <c r="L54" i="2"/>
  <c r="L53" i="2"/>
  <c r="L52" i="2"/>
  <c r="L51" i="2"/>
  <c r="L49" i="2"/>
  <c r="L48" i="2"/>
  <c r="L47" i="2"/>
  <c r="L46" i="2"/>
  <c r="L45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5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43</xdr:row>
                <xdr:rowOff>76200</xdr:rowOff>
              </from>
              <to>
                <xdr:col>2</xdr:col>
                <xdr:colOff>711200</xdr:colOff>
                <xdr:row>46</xdr:row>
                <xdr:rowOff>190500</xdr:rowOff>
              </to>
            </anchor>
          </commentPr>
        </mc:Fallback>
      </mc:AlternateContent>
    </comment>
    <comment ref="A51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49</xdr:row>
                <xdr:rowOff>76200</xdr:rowOff>
              </from>
              <to>
                <xdr:col>2</xdr:col>
                <xdr:colOff>711200</xdr:colOff>
                <xdr:row>52</xdr:row>
                <xdr:rowOff>190500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<sst xmlns="http://purl.oclc.org/ooxml/spreadsheetml/main" count="5097" uniqueCount="85">
  <si>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</si>
  <si>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</si>
  <si>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</si>
  <si>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</si>
  <si>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</si>
  <si>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</si>
  <si>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</si>
  <si>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</si>
  <si>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</si>
  <si>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</si>
  <si>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</si>
  <si>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</si>
  <si>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</si>
  <si>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</si>
  <si>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</si>
  <si>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</si>
  <si>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</si>
  <si>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</si>
  <si>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</si>
  <si>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</si>
  <si>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</si>
  <si>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</si>
  <si>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</si>
  <si>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</si>
  <si>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</si>
  <si>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</si>
  <si>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</si>
  <si>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</si>
  <si>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</si>
  <si>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</si>
  <si>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</si>
  <si>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</si>
  <si>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</si>
  <si>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</si>
  <si>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</si>
  <si>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</si>
  <si>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</si>
  <si>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</si>
  <si>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</si>
  <si>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</si>
  <si>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</si>
  <si>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</si>
  <si>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</si>
  <si>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</si>
  <si>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</si>
  <si>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</si>
  <si>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</si>
  <si>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</si>
  <si>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</si>
  <si>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</si>
  <si>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</si>
  <si>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</si>
  <si>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</si>
  <si>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</si>
  <si>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</si>
  <si>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</si>
  <si>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</si>
  <si>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</si>
  <si>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</si>
  <si>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</si>
  <si>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</si>
  <si>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</si>
  <si>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</si>
  <si>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</si>
  <si>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</si>
  <si>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</si>
  <si>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</si>
  <si>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</si>
  <si>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Thembisa mortality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</si>
  <si>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</si>
  <si>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</si>
  <si>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</si>
  <si>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</si>
  <si>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</si>
  <si>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</si>
  <si>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</si>
  <si>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</si>
  <si>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</si>
  <si>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</si>
  <si>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</si>
  <si>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</si>
  <si>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</si>
  <si>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Take 0.0045 for treated suppressed and unsurpressed non-AHD established</t>
  </si>
  <si>
    <t>Untreataed AHD take 0.18 (first 6 months)</t>
  </si>
  <si>
    <t>prop AHD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</si>
</sst>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43</xdr:row>
          <xdr:rowOff>76200</xdr:rowOff>
        </xdr:from>
        <xdr:to>
          <xdr:col>2</xdr:col>
          <xdr:colOff>711200</xdr:colOff>
          <xdr:row>46</xdr:row>
          <xdr:rowOff>190500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C18FA516-9479-F06F-12BF-FCD1E054CAB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9601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49</xdr:row>
          <xdr:rowOff>76200</xdr:rowOff>
        </xdr:from>
        <xdr:to>
          <xdr:col>2</xdr:col>
          <xdr:colOff>711200</xdr:colOff>
          <xdr:row>52</xdr:row>
          <xdr:rowOff>190500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D6567012-7F36-623E-CEEA-E165EC15A63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8204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N55"/>
  <sheetViews>
    <sheetView tabSelected="1" workbookViewId="0">
      <selection activeCell="K4" sqref="K4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84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4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4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4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4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4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4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4" ht="22" x14ac:dyDescent="0.25">
      <c r="A41" s="1" t="s">
        <v>68</v>
      </c>
    </row>
    <row r="43" spans="1:14" x14ac:dyDescent="0.2">
      <c r="A43" s="2"/>
      <c r="G43" s="3" t="s">
        <v>69</v>
      </c>
    </row>
    <row r="44" spans="1:14" x14ac:dyDescent="0.2">
      <c r="A44" s="2"/>
      <c r="G44" s="2" t="s">
        <v>62</v>
      </c>
      <c r="H44" s="2" t="s">
        <v>70</v>
      </c>
      <c r="I44" s="2" t="s">
        <v>71</v>
      </c>
      <c r="J44" s="2" t="s">
        <v>64</v>
      </c>
      <c r="K44" s="2"/>
      <c r="L44" s="2"/>
      <c r="M44" s="2"/>
    </row>
    <row r="45" spans="1:14" x14ac:dyDescent="0.2">
      <c r="A45" s="2" t="s">
        <v>72</v>
      </c>
      <c r="G45" s="4">
        <v>2.0000000000000001E-4</v>
      </c>
      <c r="H45" s="4">
        <v>1.6000000000000001E-3</v>
      </c>
      <c r="I45" s="4">
        <v>1.46E-2</v>
      </c>
      <c r="J45" s="4">
        <v>0.21679999999999999</v>
      </c>
      <c r="K45" s="4"/>
      <c r="L45" s="4">
        <f>G45*E19+H45*E18+I45*E17</f>
        <v>5.6079148078860266E-3</v>
      </c>
      <c r="M45" s="4"/>
      <c r="N45" t="s">
        <v>83</v>
      </c>
    </row>
    <row r="46" spans="1:14" x14ac:dyDescent="0.2">
      <c r="A46" s="2" t="s">
        <v>73</v>
      </c>
      <c r="G46" s="4">
        <v>8.9999999999999998E-4</v>
      </c>
      <c r="H46" s="4">
        <v>5.0000000000000001E-3</v>
      </c>
      <c r="I46" s="4">
        <v>1.32E-2</v>
      </c>
      <c r="J46" s="4">
        <v>5.33E-2</v>
      </c>
      <c r="K46" s="4"/>
      <c r="L46" s="4">
        <f>G46*$E$19+H46*$E$18+I46*$E$17</f>
        <v>6.2874082601813205E-3</v>
      </c>
      <c r="M46" s="4"/>
    </row>
    <row r="47" spans="1:14" x14ac:dyDescent="0.2">
      <c r="A47" s="2" t="s">
        <v>74</v>
      </c>
      <c r="G47" s="4">
        <v>2.7000000000000001E-3</v>
      </c>
      <c r="H47" s="4">
        <v>8.5000000000000006E-3</v>
      </c>
      <c r="I47" s="4">
        <v>1.1599999999999999E-2</v>
      </c>
      <c r="J47" s="4">
        <v>2.81E-2</v>
      </c>
      <c r="K47" s="4"/>
      <c r="L47" s="4">
        <f>G47*$E$19+H47*$E$18+I47*$E$17</f>
        <v>7.3476183623542952E-3</v>
      </c>
      <c r="M47" s="4"/>
    </row>
    <row r="48" spans="1:14" x14ac:dyDescent="0.2">
      <c r="A48" s="2" t="s">
        <v>75</v>
      </c>
      <c r="G48" s="4">
        <v>4.1999999999999997E-3</v>
      </c>
      <c r="H48" s="4">
        <v>7.6E-3</v>
      </c>
      <c r="I48" s="4">
        <v>7.6E-3</v>
      </c>
      <c r="J48" s="4">
        <v>1.8499999999999999E-2</v>
      </c>
      <c r="K48" s="4"/>
      <c r="L48" s="4">
        <f t="shared" ref="L48:L54" si="4">G48*$E$19+H48*$E$18+I48*$E$17</f>
        <v>6.288732191682256E-3</v>
      </c>
      <c r="M48" s="4"/>
    </row>
    <row r="49" spans="1:14" x14ac:dyDescent="0.2">
      <c r="A49" s="2" t="s">
        <v>76</v>
      </c>
      <c r="G49" s="4">
        <v>4.8999999999999998E-3</v>
      </c>
      <c r="H49" s="4">
        <v>6.3E-3</v>
      </c>
      <c r="I49" s="4">
        <v>6.3E-3</v>
      </c>
      <c r="J49" s="4">
        <v>1.52E-2</v>
      </c>
      <c r="K49" s="4"/>
      <c r="L49" s="4">
        <f t="shared" si="4"/>
        <v>5.7600661965750474E-3</v>
      </c>
      <c r="M49" s="4"/>
      <c r="N49" t="s">
        <v>82</v>
      </c>
    </row>
    <row r="50" spans="1:14" x14ac:dyDescent="0.2">
      <c r="A50" s="2"/>
      <c r="G50" s="4"/>
      <c r="H50" s="4"/>
      <c r="I50" s="4"/>
      <c r="J50" s="4"/>
      <c r="K50" s="4"/>
      <c r="L50" s="4"/>
      <c r="M50" s="4"/>
    </row>
    <row r="51" spans="1:14" x14ac:dyDescent="0.2">
      <c r="A51" s="2" t="s">
        <v>77</v>
      </c>
      <c r="G51" s="4">
        <v>1E-4</v>
      </c>
      <c r="H51" s="4">
        <v>1.6000000000000001E-3</v>
      </c>
      <c r="I51" s="4">
        <v>1.5900000000000001E-2</v>
      </c>
      <c r="J51" s="4">
        <v>0.1699</v>
      </c>
      <c r="K51" s="4"/>
      <c r="L51" s="4">
        <f t="shared" si="4"/>
        <v>6.0241329687724856E-3</v>
      </c>
      <c r="M51" s="4"/>
    </row>
    <row r="52" spans="1:14" x14ac:dyDescent="0.2">
      <c r="A52" s="2" t="s">
        <v>78</v>
      </c>
      <c r="G52" s="4">
        <v>8.0000000000000004E-4</v>
      </c>
      <c r="H52" s="4">
        <v>4.4999999999999997E-3</v>
      </c>
      <c r="I52" s="4">
        <v>1.01E-2</v>
      </c>
      <c r="J52" s="4">
        <v>4.1599999999999998E-2</v>
      </c>
      <c r="K52" s="4"/>
      <c r="L52" s="4">
        <f t="shared" si="4"/>
        <v>5.0321053388976827E-3</v>
      </c>
      <c r="M52" s="4"/>
    </row>
    <row r="53" spans="1:14" x14ac:dyDescent="0.2">
      <c r="A53" s="2" t="s">
        <v>79</v>
      </c>
      <c r="G53" s="4">
        <v>2E-3</v>
      </c>
      <c r="H53" s="4">
        <v>5.7000000000000002E-3</v>
      </c>
      <c r="I53" s="4">
        <v>5.7000000000000002E-3</v>
      </c>
      <c r="J53" s="4">
        <v>2.1600000000000001E-2</v>
      </c>
      <c r="K53" s="4"/>
      <c r="L53" s="4">
        <f t="shared" si="4"/>
        <v>4.2730320909483378E-3</v>
      </c>
      <c r="M53" s="4"/>
    </row>
    <row r="54" spans="1:14" x14ac:dyDescent="0.2">
      <c r="A54" s="2" t="s">
        <v>80</v>
      </c>
      <c r="G54" s="4">
        <v>2.7000000000000001E-3</v>
      </c>
      <c r="H54" s="4">
        <v>3.3999999999999998E-3</v>
      </c>
      <c r="I54" s="4">
        <v>3.3999999999999998E-3</v>
      </c>
      <c r="J54" s="4">
        <v>1.2999999999999999E-2</v>
      </c>
      <c r="K54" s="4"/>
      <c r="L54" s="4">
        <f t="shared" si="4"/>
        <v>3.130033098287523E-3</v>
      </c>
      <c r="M54" s="4"/>
    </row>
    <row r="55" spans="1:14" x14ac:dyDescent="0.2">
      <c r="A55" s="2" t="s">
        <v>81</v>
      </c>
      <c r="G55" s="4">
        <v>2.5000000000000001E-3</v>
      </c>
      <c r="H55" s="4">
        <v>2.5000000000000001E-3</v>
      </c>
      <c r="I55" s="4">
        <v>2.5000000000000001E-3</v>
      </c>
      <c r="J55" s="4">
        <v>9.4000000000000004E-3</v>
      </c>
      <c r="K55" s="4"/>
      <c r="L55" s="4">
        <f>G55*$E$19+H55*$E$18+I55*$E$17</f>
        <v>2.5000000000000001E-3</v>
      </c>
      <c r="M55" s="4"/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2026-05-11T09:09:04Z</dcterms:modified>
</cp:coreProperties>
</file>