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5CF38630-15AC-1345-8CCD-A3F3D5527AAA}" xr6:coauthVersionLast="47" xr6:coauthVersionMax="47" xr10:uidLastSave="{00000000-0000-0000-0000-000000000000}"/>
  <bookViews>
    <workbookView xWindow="0" yWindow="600" windowWidth="28800" windowHeight="156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R57" i="2" l="1"/>
  <c r="F7" i="2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L49" i="2" s="1"/>
  <c r="D16" i="2"/>
  <c r="D19" i="2"/>
  <c r="D18" i="2"/>
  <c r="L53" i="2" l="1"/>
  <c r="L59" i="2"/>
  <c r="L58" i="2"/>
  <c r="L57" i="2"/>
  <c r="L56" i="2"/>
  <c r="L55" i="2"/>
  <c r="L52" i="2"/>
  <c r="L51" i="2"/>
  <c r="L50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9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47</xdr:row>
                <xdr:rowOff>0</xdr:rowOff>
              </from>
              <to>
                <xdr:col>2</xdr:col>
                <xdr:colOff>711200</xdr:colOff>
                <xdr:row>50</xdr:row>
                <xdr:rowOff>114300</xdr:rowOff>
              </to>
            </anchor>
          </commentPr>
        </mc:Fallback>
      </mc:AlternateContent>
    </comment>
    <comment ref="A55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53</xdr:row>
                <xdr:rowOff>0</xdr:rowOff>
              </from>
              <to>
                <xdr:col>2</xdr:col>
                <xdr:colOff>711200</xdr:colOff>
                <xdr:row>56</xdr:row>
                <xdr:rowOff>114300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<sst xmlns="http://purl.oclc.org/ooxml/spreadsheetml/main" count="5102" uniqueCount="86">
  <si>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</si>
  <si>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</si>
  <si>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</si>
  <si>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</si>
  <si>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</si>
  <si>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</si>
  <si>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</si>
  <si>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</si>
  <si>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</si>
  <si>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</si>
  <si>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</si>
  <si>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</si>
  <si>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</si>
  <si>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</si>
  <si>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</si>
  <si>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</si>
  <si>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</si>
  <si>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</si>
  <si>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</si>
  <si>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</si>
  <si>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</si>
  <si>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</si>
  <si>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</si>
  <si>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</si>
  <si>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</si>
  <si>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</si>
  <si>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</si>
  <si>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</si>
  <si>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</si>
  <si>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</si>
  <si>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</si>
  <si>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</si>
  <si>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</si>
  <si>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</si>
  <si>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</si>
  <si>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</si>
  <si>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</si>
  <si>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</si>
  <si>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</si>
  <si>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</si>
  <si>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</si>
  <si>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</si>
  <si>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</si>
  <si>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</si>
  <si>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</si>
  <si>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</si>
  <si>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</si>
  <si>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</si>
  <si>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</si>
  <si>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</si>
  <si>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</si>
  <si>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</si>
  <si>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</si>
  <si>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</si>
  <si>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</si>
  <si>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</si>
  <si>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</si>
  <si>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</si>
  <si>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</si>
  <si>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</si>
  <si>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</si>
  <si>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</si>
  <si>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</si>
  <si>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</si>
  <si>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</si>
  <si>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</si>
  <si>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</si>
  <si>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</si>
  <si>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</si>
  <si>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</si>
  <si>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</si>
  <si>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</si>
  <si>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</si>
  <si>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</si>
  <si>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</si>
  <si>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</si>
  <si>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</si>
  <si>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</si>
  <si>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</si>
  <si>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</si>
  <si>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</si>
  <si>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prop AHD</t>
  </si>
  <si>
    <t>Thembisa mortality Table 3.1</t>
  </si>
  <si>
    <t>Mortality in absence of ART</t>
  </si>
  <si>
    <t>Average mortality across cd4 (200+), sex and for 7+ months on ART</t>
  </si>
  <si>
    <t>Take 0.0051 for treated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</si>
</sst>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rgb="FF1B1B1B"/>
      <name val="Cambri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47</xdr:row>
          <xdr:rowOff>0</xdr:rowOff>
        </xdr:from>
        <xdr:to>
          <xdr:col>2</xdr:col>
          <xdr:colOff>711200</xdr:colOff>
          <xdr:row>50</xdr:row>
          <xdr:rowOff>114300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8F2A07FF-57D3-0802-8451-B585FDBEF00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4140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53</xdr:row>
          <xdr:rowOff>0</xdr:rowOff>
        </xdr:from>
        <xdr:to>
          <xdr:col>2</xdr:col>
          <xdr:colOff>711200</xdr:colOff>
          <xdr:row>56</xdr:row>
          <xdr:rowOff>114300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80F38937-C82B-7D6F-E88B-C0E8D6A4E69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1633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R60"/>
  <sheetViews>
    <sheetView tabSelected="1" topLeftCell="A33" workbookViewId="0">
      <selection activeCell="L48" sqref="L48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81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3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3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3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3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3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3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3" ht="22" x14ac:dyDescent="0.25">
      <c r="A41" s="1" t="s">
        <v>82</v>
      </c>
    </row>
    <row r="42" spans="1:13" ht="22" x14ac:dyDescent="0.25">
      <c r="A42" s="1"/>
    </row>
    <row r="43" spans="1:13" x14ac:dyDescent="0.2">
      <c r="A43" s="6" t="s">
        <v>83</v>
      </c>
    </row>
    <row r="44" spans="1:13" x14ac:dyDescent="0.2">
      <c r="A44" s="2" t="s">
        <v>62</v>
      </c>
      <c r="B44" s="2" t="s">
        <v>69</v>
      </c>
      <c r="C44" s="2" t="s">
        <v>70</v>
      </c>
      <c r="D44" s="2" t="s">
        <v>64</v>
      </c>
    </row>
    <row r="45" spans="1:13" x14ac:dyDescent="0.2">
      <c r="A45" s="6">
        <v>0</v>
      </c>
      <c r="B45">
        <v>0</v>
      </c>
      <c r="C45">
        <v>3.3000000000000002E-2</v>
      </c>
      <c r="D45">
        <v>0.254</v>
      </c>
    </row>
    <row r="47" spans="1:13" x14ac:dyDescent="0.2">
      <c r="A47" s="2"/>
      <c r="G47" s="3" t="s">
        <v>68</v>
      </c>
    </row>
    <row r="48" spans="1:13" x14ac:dyDescent="0.2">
      <c r="A48" s="2"/>
      <c r="G48" s="2" t="s">
        <v>62</v>
      </c>
      <c r="H48" s="2" t="s">
        <v>69</v>
      </c>
      <c r="I48" s="2" t="s">
        <v>70</v>
      </c>
      <c r="J48" s="2" t="s">
        <v>64</v>
      </c>
      <c r="K48" s="2"/>
      <c r="L48" s="2"/>
      <c r="M48" s="2"/>
    </row>
    <row r="49" spans="1:18" x14ac:dyDescent="0.2">
      <c r="A49" s="2" t="s">
        <v>71</v>
      </c>
      <c r="G49" s="4">
        <v>2.0000000000000001E-4</v>
      </c>
      <c r="H49" s="4">
        <v>1.6000000000000001E-3</v>
      </c>
      <c r="I49" s="4">
        <v>1.46E-2</v>
      </c>
      <c r="J49" s="4">
        <v>0.25540000000000002</v>
      </c>
      <c r="K49" s="4"/>
      <c r="L49" s="4">
        <f>G49*E19+H49*E18+I49*E17</f>
        <v>5.6079148078860266E-3</v>
      </c>
      <c r="M49" s="4"/>
    </row>
    <row r="50" spans="1:18" x14ac:dyDescent="0.2">
      <c r="A50" s="2" t="s">
        <v>72</v>
      </c>
      <c r="G50" s="4">
        <v>8.9999999999999998E-4</v>
      </c>
      <c r="H50" s="4">
        <v>5.0000000000000001E-3</v>
      </c>
      <c r="I50" s="4">
        <v>1.32E-2</v>
      </c>
      <c r="J50" s="4">
        <v>6.13E-2</v>
      </c>
      <c r="K50" s="4"/>
      <c r="L50" s="4">
        <f>G50*$E$19+H50*$E$18+I50*$E$17</f>
        <v>6.2874082601813205E-3</v>
      </c>
      <c r="M50" s="4"/>
    </row>
    <row r="51" spans="1:18" x14ac:dyDescent="0.2">
      <c r="A51" s="2" t="s">
        <v>73</v>
      </c>
      <c r="G51" s="4">
        <v>2.7000000000000001E-3</v>
      </c>
      <c r="H51" s="4">
        <v>8.5000000000000006E-3</v>
      </c>
      <c r="I51" s="4">
        <v>1.1599999999999999E-2</v>
      </c>
      <c r="J51" s="4">
        <v>3.0599999999999999E-2</v>
      </c>
      <c r="K51" s="4"/>
      <c r="L51" s="4">
        <f>G51*$E$19+H51*$E$18+I51*$E$17</f>
        <v>7.3476183623542952E-3</v>
      </c>
      <c r="M51" s="4"/>
    </row>
    <row r="52" spans="1:18" x14ac:dyDescent="0.2">
      <c r="A52" s="2" t="s">
        <v>74</v>
      </c>
      <c r="G52" s="4">
        <v>4.1999999999999997E-3</v>
      </c>
      <c r="H52" s="4">
        <v>7.6E-3</v>
      </c>
      <c r="I52" s="4">
        <v>7.6E-3</v>
      </c>
      <c r="J52" s="4">
        <v>2.0199999999999999E-2</v>
      </c>
      <c r="K52" s="4"/>
      <c r="L52" s="4">
        <f t="shared" ref="L52:L58" si="4">G52*$E$19+H52*$E$18+I52*$E$17</f>
        <v>6.288732191682256E-3</v>
      </c>
      <c r="M52" s="4"/>
    </row>
    <row r="53" spans="1:18" x14ac:dyDescent="0.2">
      <c r="A53" s="2" t="s">
        <v>75</v>
      </c>
      <c r="G53" s="4">
        <v>4.8999999999999998E-3</v>
      </c>
      <c r="H53" s="4">
        <v>6.3E-3</v>
      </c>
      <c r="I53" s="4">
        <v>6.3E-3</v>
      </c>
      <c r="J53" s="4">
        <v>1.66E-2</v>
      </c>
      <c r="K53" s="4"/>
      <c r="L53" s="4">
        <f t="shared" si="4"/>
        <v>5.7600661965750474E-3</v>
      </c>
      <c r="M53" s="4"/>
    </row>
    <row r="54" spans="1:18" x14ac:dyDescent="0.2">
      <c r="A54" s="2"/>
      <c r="G54" s="4"/>
      <c r="H54" s="4"/>
      <c r="I54" s="4"/>
      <c r="J54" s="4"/>
      <c r="K54" s="4"/>
      <c r="L54" s="4"/>
      <c r="M54" s="4"/>
    </row>
    <row r="55" spans="1:18" x14ac:dyDescent="0.2">
      <c r="A55" s="2" t="s">
        <v>76</v>
      </c>
      <c r="G55" s="4">
        <v>1E-4</v>
      </c>
      <c r="H55" s="4">
        <v>1.6000000000000001E-3</v>
      </c>
      <c r="I55" s="4">
        <v>1.5900000000000001E-2</v>
      </c>
      <c r="J55" s="4">
        <v>0.2072</v>
      </c>
      <c r="K55" s="4"/>
      <c r="L55" s="4">
        <f t="shared" si="4"/>
        <v>6.0241329687724856E-3</v>
      </c>
      <c r="M55" s="4"/>
    </row>
    <row r="56" spans="1:18" x14ac:dyDescent="0.2">
      <c r="A56" s="2" t="s">
        <v>77</v>
      </c>
      <c r="G56" s="4">
        <v>8.0000000000000004E-4</v>
      </c>
      <c r="H56" s="4">
        <v>4.4999999999999997E-3</v>
      </c>
      <c r="I56" s="4">
        <v>1.01E-2</v>
      </c>
      <c r="J56" s="4">
        <v>4.9000000000000002E-2</v>
      </c>
      <c r="K56" s="4"/>
      <c r="L56" s="4">
        <f t="shared" si="4"/>
        <v>5.0321053388976827E-3</v>
      </c>
      <c r="M56" s="4"/>
      <c r="O56" t="s">
        <v>84</v>
      </c>
    </row>
    <row r="57" spans="1:18" x14ac:dyDescent="0.2">
      <c r="A57" s="2" t="s">
        <v>78</v>
      </c>
      <c r="G57" s="4">
        <v>2E-3</v>
      </c>
      <c r="H57" s="4">
        <v>5.7000000000000002E-3</v>
      </c>
      <c r="I57" s="4">
        <v>5.7000000000000002E-3</v>
      </c>
      <c r="J57" s="4">
        <v>2.35E-2</v>
      </c>
      <c r="K57" s="4"/>
      <c r="L57" s="4">
        <f t="shared" si="4"/>
        <v>4.2730320909483378E-3</v>
      </c>
      <c r="M57" s="4"/>
      <c r="O57">
        <v>6.2874082601813205E-3</v>
      </c>
      <c r="P57">
        <v>5.0321053388976827E-3</v>
      </c>
      <c r="R57">
        <f>AVERAGE(O57:P60)</f>
        <v>5.077374442365808E-3</v>
      </c>
    </row>
    <row r="58" spans="1:18" x14ac:dyDescent="0.2">
      <c r="A58" s="2" t="s">
        <v>79</v>
      </c>
      <c r="G58" s="4">
        <v>2.7000000000000001E-3</v>
      </c>
      <c r="H58" s="4">
        <v>3.3999999999999998E-3</v>
      </c>
      <c r="I58" s="4">
        <v>3.3999999999999998E-3</v>
      </c>
      <c r="J58" s="4">
        <v>1.41E-2</v>
      </c>
      <c r="K58" s="4"/>
      <c r="L58" s="4">
        <f t="shared" si="4"/>
        <v>3.130033098287523E-3</v>
      </c>
      <c r="M58" s="4"/>
      <c r="O58">
        <v>7.3476183623542952E-3</v>
      </c>
      <c r="P58">
        <v>4.2730320909483378E-3</v>
      </c>
    </row>
    <row r="59" spans="1:18" x14ac:dyDescent="0.2">
      <c r="A59" s="2" t="s">
        <v>80</v>
      </c>
      <c r="G59" s="4">
        <v>2.5000000000000001E-3</v>
      </c>
      <c r="H59" s="4">
        <v>2.5000000000000001E-3</v>
      </c>
      <c r="I59" s="4">
        <v>2.5000000000000001E-3</v>
      </c>
      <c r="J59" s="4">
        <v>1.03E-2</v>
      </c>
      <c r="K59" s="4"/>
      <c r="L59" s="4">
        <f>G59*$E$19+H59*$E$18+I59*$E$17</f>
        <v>2.5000000000000001E-3</v>
      </c>
      <c r="M59" s="4"/>
      <c r="O59">
        <v>6.288732191682256E-3</v>
      </c>
      <c r="P59">
        <v>3.130033098287523E-3</v>
      </c>
      <c r="R59" t="s">
        <v>85</v>
      </c>
    </row>
    <row r="60" spans="1:18" x14ac:dyDescent="0.2">
      <c r="O60">
        <v>5.7600661965750474E-3</v>
      </c>
      <c r="P60">
        <v>2.5000000000000001E-3</v>
      </c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2026-05-20T07:18:24Z</dcterms:modified>
</cp:coreProperties>
</file>