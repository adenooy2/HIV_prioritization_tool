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0_ncr:8_{B0A6AFE0-BE74-AA47-B92B-A74271824EE4}" xr6:coauthVersionLast="47" xr6:coauthVersionMax="47" xr10:uidLastSave="{00000000-0000-0000-0000-000000000000}"/>
  <bookViews>
    <workbookView xWindow="3600" yWindow="620" windowWidth="25200" windowHeight="15820" xr2:uid="{0A9E637F-422C-BE40-81DF-DED3F7B193D2}"/>
  </bookViews>
  <sheets>
    <sheet name="indicator_artstart" sheetId="1" r:id="rId1"/>
    <sheet name="Sheet1" sheetId="2" r:id="rId2"/>
    <sheet name="Sheet2" sheetId="3" r:id="rId3"/>
  </sheets>
  <definedNames>
    <definedName name="_xlnm._FilterDatabase" localSheetId="0" hidden="1">indicator_artstart!$A$1:$Y$1207</definedName>
  </definedNames>
  <calcPr calcId="191029" calcCompleted="0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C15" i="3" l="1"/>
  <c r="C5" i="3"/>
  <c r="C4" i="3"/>
  <c r="C3" i="3"/>
  <c r="A6" i="3"/>
  <c r="F33" i="2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E3" i="3" l="1"/>
  <c r="I34" i="2"/>
  <c r="F18" i="2"/>
  <c r="F19" i="2" s="1"/>
  <c r="K33" i="2" s="1"/>
  <c r="C22" i="2"/>
  <c r="E19" i="2" s="1"/>
  <c r="C20" i="2"/>
  <c r="D17" i="2" s="1"/>
  <c r="E17" i="2" l="1"/>
  <c r="E18" i="2"/>
  <c r="D16" i="2"/>
  <c r="D19" i="2"/>
  <c r="D18" i="2"/>
  <c r="L55" i="2" l="1"/>
  <c r="L54" i="2"/>
  <c r="L53" i="2"/>
  <c r="L52" i="2"/>
  <c r="L51" i="2"/>
  <c r="L49" i="2"/>
  <c r="L48" i="2"/>
  <c r="L47" i="2"/>
  <c r="L46" i="2"/>
  <c r="L45" i="2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Leigh Johnson</author>
  </authors>
  <commentList>
    <comment ref="A45" authorId="0" shapeId="1025" xr:uid="{C7F5560C-5891-0D4A-8B02-151CE51B31CA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43</xdr:row>
                <xdr:rowOff>76200</xdr:rowOff>
              </from>
              <to>
                <xdr:col>2</xdr:col>
                <xdr:colOff>711200</xdr:colOff>
                <xdr:row>46</xdr:row>
                <xdr:rowOff>190500</xdr:rowOff>
              </to>
            </anchor>
          </commentPr>
        </mc:Fallback>
      </mc:AlternateContent>
    </comment>
    <comment ref="A51" authorId="0" shapeId="1026" xr:uid="{68A8BE86-5723-0548-9CD5-6D29C09EDB43}">
      <text>
        <r>
          <rPr>
            <b/>
            <sz val="8"/>
            <color indexed="81"/>
            <rFont val="Tahoma"/>
            <family val="2"/>
          </rPr>
          <t>Leigh Johnson:</t>
        </r>
        <r>
          <rPr>
            <sz val="8"/>
            <color indexed="81"/>
            <rFont val="Tahoma"/>
            <family val="2"/>
          </rPr>
          <t xml:space="preserve">
Parameters are specified for age 30.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190500</xdr:colOff>
                <xdr:row>49</xdr:row>
                <xdr:rowOff>76200</xdr:rowOff>
              </from>
              <to>
                <xdr:col>2</xdr:col>
                <xdr:colOff>711200</xdr:colOff>
                <xdr:row>52</xdr:row>
                <xdr:rowOff>190500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<sst xmlns="http://purl.oclc.org/ooxml/spreadsheetml/main" count="5096" uniqueCount="84">
  <si>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</si>
  <si>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</si>
  <si>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</si>
  <si>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</si>
  <si>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</si>
  <si>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</si>
  <si>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</si>
  <si>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</si>
  <si>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</si>
  <si>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</si>
  <si>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</si>
  <si>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</si>
  <si>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</si>
  <si>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</si>
  <si>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</si>
  <si>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</si>
  <si>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</si>
  <si>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</si>
  <si>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</si>
  <si>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</si>
  <si>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</si>
  <si>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</si>
  <si>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</si>
  <si>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</si>
  <si>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</si>
  <si>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</si>
  <si>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</si>
  <si>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</si>
  <si>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</si>
  <si>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</si>
  <si>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</si>
  <si>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</si>
  <si>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</si>
  <si>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</si>
  <si>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</si>
  <si>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</si>
  <si>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</si>
  <si>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</si>
  <si>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</si>
  <si>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</si>
  <si>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</si>
  <si>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</si>
  <si>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</si>
  <si>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</si>
  <si>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</si>
  <si>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</si>
  <si>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</si>
  <si>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</si>
  <si>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</si>
  <si>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</si>
  <si>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</si>
  <si>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</si>
  <si>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</si>
  <si>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</si>
  <si>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</si>
  <si>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</si>
  <si>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</si>
  <si>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</si>
  <si>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</si>
  <si>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</si>
  <si>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Avg</t>
  </si>
  <si>
    <t>Average by groups</t>
  </si>
  <si>
    <t>500+</t>
  </si>
  <si>
    <t>200-350</t>
  </si>
  <si>
    <t>&lt;200</t>
  </si>
  <si>
    <t>Annual mortality no on treatment</t>
  </si>
  <si>
    <t>Weighted average 350+</t>
  </si>
  <si>
    <t>Prop 350+</t>
  </si>
  <si>
    <t>Thembisa mortality</t>
  </si>
  <si>
    <t>CD4 stage at ART initiation</t>
  </si>
  <si>
    <t>350-499</t>
  </si>
  <si>
    <t>200-349</t>
  </si>
  <si>
    <t>Annual HIV mortality rate during first 6 months of ART, males</t>
  </si>
  <si>
    <t>Annual HIV mortality rate during first months 7-18 of ART, males</t>
  </si>
  <si>
    <t>Annual HIV mortality rate during first 19-30 months of ART, males</t>
  </si>
  <si>
    <t>Annual HIV mortality rate during first 31-42 months of ART, males</t>
  </si>
  <si>
    <t>Annual HIV mortality rate after first 42 months of ART, males</t>
  </si>
  <si>
    <t>Annual HIV mortality rate during first 6 months of ART, females</t>
  </si>
  <si>
    <t>Annual HIV mortality rate during first months 7-18 of ART, females</t>
  </si>
  <si>
    <t>Annual HIV mortality rate during first 19-30 months of ART, females</t>
  </si>
  <si>
    <t>Annual HIV mortality rate during first 31-42 months of ART, females</t>
  </si>
  <si>
    <t>Annual HIV mortality rate after first 42 months of ART, females</t>
  </si>
  <si>
    <t>Take 0.0045 for treated suppressed and unsurpressed non-AHD established</t>
  </si>
  <si>
    <t>Untreataed AHD take 0.18 (first 6 months)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</si>
</sst>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  <font>
      <sz val="10"/>
      <name val="Arial"/>
      <family val="2"/>
    </font>
    <font>
      <sz val="10"/>
      <color rgb="FFFF000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20" fillId="0" borderId="0" xfId="0" applyFont="1"/>
    <xf numFmtId="9" fontId="20" fillId="0" borderId="0" xfId="0" applyNumberFormat="1" applyFont="1"/>
    <xf numFmtId="164" fontId="21" fillId="0" borderId="0" xfId="0" applyNumberFormat="1" applyFon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6</xdr:col>
      <xdr:colOff>774700</xdr:colOff>
      <xdr:row>4</xdr:row>
      <xdr:rowOff>114300</xdr:rowOff>
    </xdr:from>
    <xdr:to>
      <xdr:col>14</xdr:col>
      <xdr:colOff>63500</xdr:colOff>
      <xdr:row>26</xdr:row>
      <xdr:rowOff>192728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5727700" y="927100"/>
          <a:ext cx="5892800" cy="454882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43</xdr:row>
          <xdr:rowOff>76200</xdr:rowOff>
        </xdr:from>
        <xdr:to>
          <xdr:col>2</xdr:col>
          <xdr:colOff>711200</xdr:colOff>
          <xdr:row>46</xdr:row>
          <xdr:rowOff>190500</xdr:rowOff>
        </xdr:to>
        <xdr:sp macro="" textlink="">
          <xdr:nvSpPr>
            <xdr:cNvPr id="1025" name="Comment 3" hidden="1">
              <a:extLst>
                <a:ext uri="{FF2B5EF4-FFF2-40B4-BE49-F238E27FC236}">
                  <a16:creationId xmlns:a16="http://schemas.microsoft.com/office/drawing/2014/main" id="{34E42FC4-1DA5-3219-481E-ED143F2E662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96012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190500</xdr:colOff>
          <xdr:row>49</xdr:row>
          <xdr:rowOff>76200</xdr:rowOff>
        </xdr:from>
        <xdr:to>
          <xdr:col>2</xdr:col>
          <xdr:colOff>711200</xdr:colOff>
          <xdr:row>52</xdr:row>
          <xdr:rowOff>190500</xdr:rowOff>
        </xdr:to>
        <xdr:sp macro="" textlink="">
          <xdr:nvSpPr>
            <xdr:cNvPr id="1026" name="Comment 4" hidden="1">
              <a:extLst>
                <a:ext uri="{FF2B5EF4-FFF2-40B4-BE49-F238E27FC236}">
                  <a16:creationId xmlns:a16="http://schemas.microsoft.com/office/drawing/2014/main" id="{9A0B0DD0-5EDC-CA99-A4C4-94E568AB26C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16000" y="10820400"/>
              <a:ext cx="1346200" cy="723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>
              <a:outerShdw dist="35921" dir="2700000" algn="ctr" rotWithShape="0">
                <a:srgbClr val="000000"/>
              </a:outerShdw>
            </a:effectLst>
            <a:extLs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GB" sz="8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Leigh Johnson:</a:t>
              </a:r>
              <a:endParaRPr lang="en-GB" sz="8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GB" sz="8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Parameters are specified for age 30.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tabSelected="1" workbookViewId="0">
      <selection activeCell="O1" sqref="O1"/>
    </sheetView>
  </sheetViews>
  <sheetFormatPr baseColWidth="10" defaultRowHeight="16" x14ac:dyDescent="0.2"/>
  <cols>
    <col min="21" max="21" width="17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N55"/>
  <sheetViews>
    <sheetView topLeftCell="A24" workbookViewId="0">
      <selection activeCell="E26" sqref="E26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9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9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</row>
    <row r="4" spans="1:9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9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9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9" spans="1:9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9" x14ac:dyDescent="0.2">
      <c r="A10" t="s">
        <v>25</v>
      </c>
    </row>
    <row r="11" spans="1:9" x14ac:dyDescent="0.2">
      <c r="A11" t="s">
        <v>34</v>
      </c>
    </row>
    <row r="12" spans="1:9" x14ac:dyDescent="0.2">
      <c r="A12" t="s">
        <v>35</v>
      </c>
    </row>
    <row r="13" spans="1:9" x14ac:dyDescent="0.2">
      <c r="A13" t="s">
        <v>37</v>
      </c>
    </row>
    <row r="14" spans="1:9" x14ac:dyDescent="0.2">
      <c r="A14" t="s">
        <v>38</v>
      </c>
    </row>
    <row r="15" spans="1:9" x14ac:dyDescent="0.2">
      <c r="D15" t="s">
        <v>44</v>
      </c>
      <c r="E15" t="s">
        <v>45</v>
      </c>
      <c r="F15" t="s">
        <v>67</v>
      </c>
    </row>
    <row r="16" spans="1:9" x14ac:dyDescent="0.2">
      <c r="B16" t="s">
        <v>40</v>
      </c>
      <c r="C16">
        <f>3290+594</f>
        <v>3884</v>
      </c>
      <c r="D16">
        <f>C16/$C$20</f>
        <v>0.35853410874180747</v>
      </c>
    </row>
    <row r="17" spans="1:11" x14ac:dyDescent="0.2">
      <c r="B17" t="s">
        <v>41</v>
      </c>
      <c r="C17">
        <f>2146+285</f>
        <v>2431</v>
      </c>
      <c r="D17">
        <f t="shared" ref="D17:D19" si="1">C17/$C$20</f>
        <v>0.22440690482784087</v>
      </c>
      <c r="E17">
        <f>C17/C22</f>
        <v>0.34983450856238307</v>
      </c>
    </row>
    <row r="18" spans="1:11" x14ac:dyDescent="0.2">
      <c r="B18" t="s">
        <v>42</v>
      </c>
      <c r="C18">
        <f>1662+176</f>
        <v>1838</v>
      </c>
      <c r="D18">
        <f t="shared" si="1"/>
        <v>0.16966675897719929</v>
      </c>
      <c r="E18">
        <f>C18/C22</f>
        <v>0.26449848899122175</v>
      </c>
      <c r="F18">
        <f>C18/(C18+C19)</f>
        <v>0.40681717574147852</v>
      </c>
    </row>
    <row r="19" spans="1:11" x14ac:dyDescent="0.2">
      <c r="B19" t="s">
        <v>43</v>
      </c>
      <c r="C19">
        <f>2384+296</f>
        <v>2680</v>
      </c>
      <c r="D19">
        <f t="shared" si="1"/>
        <v>0.2473922274531524</v>
      </c>
      <c r="E19">
        <f>C19/C22</f>
        <v>0.38566700244639518</v>
      </c>
      <c r="F19">
        <f>1-F18</f>
        <v>0.59318282425852153</v>
      </c>
    </row>
    <row r="20" spans="1:11" x14ac:dyDescent="0.2">
      <c r="C20">
        <f>SUM(C16:C19)</f>
        <v>10833</v>
      </c>
    </row>
    <row r="22" spans="1:11" x14ac:dyDescent="0.2">
      <c r="B22" t="s">
        <v>46</v>
      </c>
      <c r="C22">
        <f>C17+C18+C19</f>
        <v>6949</v>
      </c>
    </row>
    <row r="28" spans="1:11" x14ac:dyDescent="0.2">
      <c r="A28" t="s">
        <v>65</v>
      </c>
    </row>
    <row r="30" spans="1:11" ht="22" x14ac:dyDescent="0.25">
      <c r="A30" s="1" t="s">
        <v>47</v>
      </c>
    </row>
    <row r="31" spans="1:11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60</v>
      </c>
      <c r="H31" s="1" t="s">
        <v>61</v>
      </c>
    </row>
    <row r="32" spans="1:11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62</v>
      </c>
      <c r="I32">
        <f>F32</f>
        <v>4.7500000000000007E-3</v>
      </c>
      <c r="K32" t="s">
        <v>66</v>
      </c>
    </row>
    <row r="33" spans="1:14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2">AVERAGE(B33:E33)</f>
        <v>1.1749999999999998E-2</v>
      </c>
      <c r="H33" s="1" t="s">
        <v>54</v>
      </c>
      <c r="I33">
        <f>F33</f>
        <v>1.1749999999999998E-2</v>
      </c>
      <c r="K33">
        <f>F32*F19+F33*F18</f>
        <v>7.5977202301903499E-3</v>
      </c>
    </row>
    <row r="34" spans="1:14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2"/>
        <v>0.03</v>
      </c>
      <c r="H34" t="s">
        <v>63</v>
      </c>
      <c r="I34">
        <f>(2*F34+F35)/3</f>
        <v>4.5500000000000006E-2</v>
      </c>
    </row>
    <row r="35" spans="1:14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2"/>
        <v>7.6499999999999999E-2</v>
      </c>
      <c r="H35" s="1"/>
    </row>
    <row r="36" spans="1:14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2"/>
        <v>0.19625000000000004</v>
      </c>
    </row>
    <row r="37" spans="1:14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2"/>
        <v>0.50600000000000001</v>
      </c>
    </row>
    <row r="38" spans="1:14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2"/>
        <v>1.3062499999999999</v>
      </c>
    </row>
    <row r="41" spans="1:14" ht="22" x14ac:dyDescent="0.25">
      <c r="A41" s="1" t="s">
        <v>68</v>
      </c>
    </row>
    <row r="43" spans="1:14" x14ac:dyDescent="0.2">
      <c r="A43" s="2"/>
      <c r="G43" s="3" t="s">
        <v>69</v>
      </c>
    </row>
    <row r="44" spans="1:14" x14ac:dyDescent="0.2">
      <c r="A44" s="2"/>
      <c r="G44" s="2" t="s">
        <v>62</v>
      </c>
      <c r="H44" s="2" t="s">
        <v>70</v>
      </c>
      <c r="I44" s="2" t="s">
        <v>71</v>
      </c>
      <c r="J44" s="2" t="s">
        <v>64</v>
      </c>
      <c r="K44" s="2"/>
      <c r="L44" s="2"/>
      <c r="M44" s="2"/>
    </row>
    <row r="45" spans="1:14" x14ac:dyDescent="0.2">
      <c r="A45" s="2" t="s">
        <v>72</v>
      </c>
      <c r="G45" s="4">
        <v>2.0000000000000001E-4</v>
      </c>
      <c r="H45" s="4">
        <v>1.6000000000000001E-3</v>
      </c>
      <c r="I45" s="4">
        <v>1.46E-2</v>
      </c>
      <c r="J45" s="4">
        <v>0.21679999999999999</v>
      </c>
      <c r="K45" s="4"/>
      <c r="L45" s="4">
        <f>G45*E19+H45*E18+I45*E17</f>
        <v>5.6079148078860266E-3</v>
      </c>
      <c r="M45" s="4"/>
      <c r="N45" t="s">
        <v>83</v>
      </c>
    </row>
    <row r="46" spans="1:14" x14ac:dyDescent="0.2">
      <c r="A46" s="2" t="s">
        <v>73</v>
      </c>
      <c r="G46" s="4">
        <v>8.9999999999999998E-4</v>
      </c>
      <c r="H46" s="4">
        <v>5.0000000000000001E-3</v>
      </c>
      <c r="I46" s="4">
        <v>1.32E-2</v>
      </c>
      <c r="J46" s="4">
        <v>5.33E-2</v>
      </c>
      <c r="K46" s="4"/>
      <c r="L46" s="4">
        <f>G46*$E$19+H46*$E$18+I46*$E$17</f>
        <v>6.2874082601813205E-3</v>
      </c>
      <c r="M46" s="4"/>
    </row>
    <row r="47" spans="1:14" x14ac:dyDescent="0.2">
      <c r="A47" s="2" t="s">
        <v>74</v>
      </c>
      <c r="G47" s="4">
        <v>2.7000000000000001E-3</v>
      </c>
      <c r="H47" s="4">
        <v>8.5000000000000006E-3</v>
      </c>
      <c r="I47" s="4">
        <v>1.1599999999999999E-2</v>
      </c>
      <c r="J47" s="4">
        <v>2.81E-2</v>
      </c>
      <c r="K47" s="4"/>
      <c r="L47" s="4">
        <f>G47*$E$19+H47*$E$18+I47*$E$17</f>
        <v>7.3476183623542952E-3</v>
      </c>
      <c r="M47" s="4"/>
    </row>
    <row r="48" spans="1:14" x14ac:dyDescent="0.2">
      <c r="A48" s="2" t="s">
        <v>75</v>
      </c>
      <c r="G48" s="4">
        <v>4.1999999999999997E-3</v>
      </c>
      <c r="H48" s="4">
        <v>7.6E-3</v>
      </c>
      <c r="I48" s="4">
        <v>7.6E-3</v>
      </c>
      <c r="J48" s="4">
        <v>1.8499999999999999E-2</v>
      </c>
      <c r="K48" s="4"/>
      <c r="L48" s="4">
        <f t="shared" ref="L48:L54" si="3">G48*$E$19+H48*$E$18+I48*$E$17</f>
        <v>6.288732191682256E-3</v>
      </c>
      <c r="M48" s="4"/>
    </row>
    <row r="49" spans="1:14" x14ac:dyDescent="0.2">
      <c r="A49" s="2" t="s">
        <v>76</v>
      </c>
      <c r="G49" s="4">
        <v>4.8999999999999998E-3</v>
      </c>
      <c r="H49" s="4">
        <v>6.3E-3</v>
      </c>
      <c r="I49" s="4">
        <v>6.3E-3</v>
      </c>
      <c r="J49" s="4">
        <v>1.52E-2</v>
      </c>
      <c r="K49" s="4"/>
      <c r="L49" s="4">
        <f t="shared" si="3"/>
        <v>5.7600661965750474E-3</v>
      </c>
      <c r="M49" s="4"/>
      <c r="N49" t="s">
        <v>82</v>
      </c>
    </row>
    <row r="50" spans="1:14" x14ac:dyDescent="0.2">
      <c r="A50" s="2"/>
      <c r="G50" s="4"/>
      <c r="H50" s="4"/>
      <c r="I50" s="4"/>
      <c r="J50" s="4"/>
      <c r="K50" s="4"/>
      <c r="L50" s="4"/>
      <c r="M50" s="4"/>
    </row>
    <row r="51" spans="1:14" x14ac:dyDescent="0.2">
      <c r="A51" s="2" t="s">
        <v>77</v>
      </c>
      <c r="G51" s="4">
        <v>1E-4</v>
      </c>
      <c r="H51" s="4">
        <v>1.6000000000000001E-3</v>
      </c>
      <c r="I51" s="4">
        <v>1.5900000000000001E-2</v>
      </c>
      <c r="J51" s="4">
        <v>0.1699</v>
      </c>
      <c r="K51" s="4"/>
      <c r="L51" s="4">
        <f t="shared" si="3"/>
        <v>6.0241329687724856E-3</v>
      </c>
      <c r="M51" s="4"/>
    </row>
    <row r="52" spans="1:14" x14ac:dyDescent="0.2">
      <c r="A52" s="2" t="s">
        <v>78</v>
      </c>
      <c r="G52" s="4">
        <v>8.0000000000000004E-4</v>
      </c>
      <c r="H52" s="4">
        <v>4.4999999999999997E-3</v>
      </c>
      <c r="I52" s="4">
        <v>1.01E-2</v>
      </c>
      <c r="J52" s="4">
        <v>4.1599999999999998E-2</v>
      </c>
      <c r="K52" s="4"/>
      <c r="L52" s="4">
        <f t="shared" si="3"/>
        <v>5.0321053388976827E-3</v>
      </c>
      <c r="M52" s="4"/>
    </row>
    <row r="53" spans="1:14" x14ac:dyDescent="0.2">
      <c r="A53" s="2" t="s">
        <v>79</v>
      </c>
      <c r="G53" s="4">
        <v>2E-3</v>
      </c>
      <c r="H53" s="4">
        <v>5.7000000000000002E-3</v>
      </c>
      <c r="I53" s="4">
        <v>5.7000000000000002E-3</v>
      </c>
      <c r="J53" s="4">
        <v>2.1600000000000001E-2</v>
      </c>
      <c r="K53" s="4"/>
      <c r="L53" s="4">
        <f t="shared" si="3"/>
        <v>4.2730320909483378E-3</v>
      </c>
      <c r="M53" s="4"/>
    </row>
    <row r="54" spans="1:14" x14ac:dyDescent="0.2">
      <c r="A54" s="2" t="s">
        <v>80</v>
      </c>
      <c r="G54" s="4">
        <v>2.7000000000000001E-3</v>
      </c>
      <c r="H54" s="4">
        <v>3.3999999999999998E-3</v>
      </c>
      <c r="I54" s="4">
        <v>3.3999999999999998E-3</v>
      </c>
      <c r="J54" s="4">
        <v>1.2999999999999999E-2</v>
      </c>
      <c r="K54" s="4"/>
      <c r="L54" s="4">
        <f t="shared" si="3"/>
        <v>3.130033098287523E-3</v>
      </c>
      <c r="M54" s="4"/>
    </row>
    <row r="55" spans="1:14" x14ac:dyDescent="0.2">
      <c r="A55" s="2" t="s">
        <v>81</v>
      </c>
      <c r="G55" s="4">
        <v>2.5000000000000001E-3</v>
      </c>
      <c r="H55" s="4">
        <v>2.5000000000000001E-3</v>
      </c>
      <c r="I55" s="4">
        <v>2.5000000000000001E-3</v>
      </c>
      <c r="J55" s="4">
        <v>9.4000000000000004E-3</v>
      </c>
      <c r="K55" s="4"/>
      <c r="L55" s="4">
        <f>G55*$E$19+H55*$E$18+I55*$E$17</f>
        <v>2.5000000000000001E-3</v>
      </c>
      <c r="M55" s="4"/>
    </row>
  </sheetData>
  <pageMargins left="0.7" right="0.7" top="0.75" bottom="0.75" header="0.3" footer="0.3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1945-2B78-CA4B-848A-AF36F2150087}">
  <dimension ref="A3:E15"/>
  <sheetViews>
    <sheetView workbookViewId="0">
      <selection activeCell="C16" sqref="C16"/>
    </sheetView>
  </sheetViews>
  <sheetFormatPr baseColWidth="10" defaultRowHeight="16" x14ac:dyDescent="0.2"/>
  <sheetData>
    <row r="3" spans="1:5" x14ac:dyDescent="0.2">
      <c r="A3" s="5">
        <v>12</v>
      </c>
      <c r="B3">
        <v>16.600000000000001</v>
      </c>
      <c r="C3">
        <f>12/18</f>
        <v>0.66666666666666663</v>
      </c>
      <c r="E3">
        <f>B3*C3+B4*C4+B5*C5</f>
        <v>20.355555555555558</v>
      </c>
    </row>
    <row r="4" spans="1:5" x14ac:dyDescent="0.2">
      <c r="A4">
        <v>4</v>
      </c>
      <c r="B4">
        <v>25.1</v>
      </c>
      <c r="C4">
        <f>4/18</f>
        <v>0.22222222222222221</v>
      </c>
    </row>
    <row r="5" spans="1:5" x14ac:dyDescent="0.2">
      <c r="A5">
        <v>2</v>
      </c>
      <c r="B5">
        <v>33.4</v>
      </c>
      <c r="C5">
        <f>2/18</f>
        <v>0.1111111111111111</v>
      </c>
    </row>
    <row r="6" spans="1:5" x14ac:dyDescent="0.2">
      <c r="A6">
        <f>SUM(A3:A5)</f>
        <v>18</v>
      </c>
    </row>
    <row r="15" spans="1:5" x14ac:dyDescent="0.2">
      <c r="C15">
        <f>25/26*1+1/26*5.6</f>
        <v>1.176923076923077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indicator_artstart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2026-05-07T12:45:58Z</dcterms:modified>
</cp:coreProperties>
</file>