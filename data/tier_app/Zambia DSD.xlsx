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2" documentId="8_{157814F6-4023-F94C-B6A4-80A9FBA95CB9}" xr6:coauthVersionLast="47" xr6:coauthVersionMax="47" xr10:uidLastSave="{0AF2D9AD-2C9D-5546-8426-794E3EA3765D}"/>
  <bookViews>
    <workbookView xWindow="1180" yWindow="1600" windowWidth="27240" windowHeight="15120" xr2:uid="{77BCC232-40C8-3D42-BA17-66C62F5C30FE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G20" i="1" s="1"/>
  <c r="F21" i="1"/>
  <c r="G21" i="1" s="1"/>
  <c r="E33" i="1" s="1"/>
  <c r="F22" i="1"/>
  <c r="G22" i="1" s="1"/>
  <c r="F23" i="1"/>
  <c r="G23" i="1" s="1"/>
  <c r="F24" i="1"/>
  <c r="F25" i="1"/>
  <c r="G25" i="1" s="1"/>
  <c r="F26" i="1"/>
  <c r="F27" i="1"/>
  <c r="G27" i="1" s="1"/>
  <c r="F28" i="1"/>
  <c r="G28" i="1" s="1"/>
  <c r="F18" i="1"/>
  <c r="D19" i="1"/>
  <c r="E19" i="1" s="1"/>
  <c r="D28" i="1"/>
  <c r="D27" i="1"/>
  <c r="D26" i="1"/>
  <c r="D25" i="1"/>
  <c r="D24" i="1"/>
  <c r="D23" i="1"/>
  <c r="D22" i="1"/>
  <c r="D21" i="1"/>
  <c r="D20" i="1"/>
  <c r="D18" i="1"/>
  <c r="D3" i="1"/>
  <c r="D4" i="1"/>
  <c r="D5" i="1"/>
  <c r="D6" i="1"/>
  <c r="D7" i="1"/>
  <c r="D8" i="1"/>
  <c r="D9" i="1"/>
  <c r="D10" i="1"/>
  <c r="D11" i="1"/>
  <c r="D12" i="1"/>
  <c r="D2" i="1"/>
  <c r="G26" i="1" l="1"/>
  <c r="G24" i="1"/>
  <c r="E26" i="1"/>
  <c r="E27" i="1"/>
  <c r="E20" i="1"/>
  <c r="E25" i="1"/>
  <c r="E28" i="1"/>
  <c r="E21" i="1"/>
  <c r="E22" i="1"/>
  <c r="E23" i="1"/>
  <c r="E24" i="1"/>
  <c r="E8" i="1"/>
  <c r="E7" i="1"/>
  <c r="E12" i="1"/>
  <c r="E4" i="1"/>
  <c r="E6" i="1"/>
  <c r="E5" i="1"/>
  <c r="E11" i="1"/>
  <c r="E10" i="1"/>
  <c r="E9" i="1"/>
  <c r="E3" i="1"/>
</calcChain>
</file>

<file path=xl/sharedStrings.xml><?xml version="1.0" encoding="utf-8"?>
<sst xmlns="http://schemas.openxmlformats.org/spreadsheetml/2006/main" count="34" uniqueCount="18">
  <si>
    <t>Average health outcomes [14]</t>
  </si>
  <si>
    <t>Conventional care not eligible for DSD</t>
  </si>
  <si>
    <t>Conventional care (3MMD)</t>
  </si>
  <si>
    <t>Six months dispensing</t>
  </si>
  <si>
    <t>Fast-track refills</t>
  </si>
  <si>
    <t>Extended clinic hours</t>
  </si>
  <si>
    <t>Scholar/adolescent model</t>
  </si>
  <si>
    <t>Mobile ART distribution</t>
  </si>
  <si>
    <t>Health post</t>
  </si>
  <si>
    <t>Home ART delivery</t>
  </si>
  <si>
    <t>Community ART distribution points</t>
  </si>
  <si>
    <t>Adherence groups</t>
  </si>
  <si>
    <t>Retention</t>
  </si>
  <si>
    <t>Suppression</t>
  </si>
  <si>
    <t>Dropp out</t>
  </si>
  <si>
    <t>Drop out reduction efficacy</t>
  </si>
  <si>
    <t>unsuppressed</t>
  </si>
  <si>
    <t>Avg suppression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</si>
</sst>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nlinelibrary.wiley.com/doi/10.1002/jia2.70003" TargetMode="External"/><Relationship Id="rId1" Type="http://schemas.openxmlformats.org/officeDocument/2006/relationships/hyperlink" Target="https://onlinelibrary.wiley.com/doi/10.1002/jia2.7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34FD-4CA5-B742-BF56-60D47A249B18}">
  <dimension ref="A1:G33"/>
  <sheetViews>
    <sheetView tabSelected="1" topLeftCell="A12" workbookViewId="0">
      <selection activeCell="L19" sqref="L19"/>
    </sheetView>
  </sheetViews>
  <sheetFormatPr baseColWidth="10" defaultRowHeight="16" x14ac:dyDescent="0.2"/>
  <cols>
    <col min="1" max="1" width="48.1640625" bestFit="1" customWidth="1"/>
  </cols>
  <sheetData>
    <row r="1" spans="1:5" x14ac:dyDescent="0.2">
      <c r="A1" s="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ht="20" x14ac:dyDescent="0.2">
      <c r="A2" s="2" t="s">
        <v>1</v>
      </c>
      <c r="B2">
        <v>77.7</v>
      </c>
      <c r="C2">
        <v>80.099999999999994</v>
      </c>
      <c r="D2">
        <f>100-B2</f>
        <v>22.299999999999997</v>
      </c>
      <c r="E2">
        <v>1</v>
      </c>
    </row>
    <row r="3" spans="1:5" ht="20" x14ac:dyDescent="0.2">
      <c r="A3" s="2" t="s">
        <v>2</v>
      </c>
      <c r="B3">
        <v>86.4</v>
      </c>
      <c r="C3">
        <v>85.5</v>
      </c>
      <c r="D3">
        <f t="shared" ref="D3:D12" si="0">100-B3</f>
        <v>13.599999999999994</v>
      </c>
      <c r="E3">
        <f>ROUND(1-D3/$D$2,2)</f>
        <v>0.39</v>
      </c>
    </row>
    <row r="4" spans="1:5" ht="20" x14ac:dyDescent="0.2">
      <c r="A4" s="2" t="s">
        <v>3</v>
      </c>
      <c r="B4">
        <v>90.6</v>
      </c>
      <c r="C4">
        <v>90.6</v>
      </c>
      <c r="D4">
        <f t="shared" si="0"/>
        <v>9.4000000000000057</v>
      </c>
      <c r="E4">
        <f t="shared" ref="E4:E12" si="1">ROUND(1-D4/$D$2,2)</f>
        <v>0.57999999999999996</v>
      </c>
    </row>
    <row r="5" spans="1:5" ht="20" x14ac:dyDescent="0.2">
      <c r="A5" s="2" t="s">
        <v>4</v>
      </c>
      <c r="B5">
        <v>89.7</v>
      </c>
      <c r="C5">
        <v>95.5</v>
      </c>
      <c r="D5">
        <f t="shared" si="0"/>
        <v>10.299999999999997</v>
      </c>
      <c r="E5">
        <f t="shared" si="1"/>
        <v>0.54</v>
      </c>
    </row>
    <row r="6" spans="1:5" ht="20" x14ac:dyDescent="0.2">
      <c r="A6" s="2" t="s">
        <v>5</v>
      </c>
      <c r="B6">
        <v>90.2</v>
      </c>
      <c r="C6">
        <v>98.3</v>
      </c>
      <c r="D6">
        <f t="shared" si="0"/>
        <v>9.7999999999999972</v>
      </c>
      <c r="E6">
        <f t="shared" si="1"/>
        <v>0.56000000000000005</v>
      </c>
    </row>
    <row r="7" spans="1:5" ht="20" x14ac:dyDescent="0.2">
      <c r="A7" s="2" t="s">
        <v>6</v>
      </c>
      <c r="B7">
        <v>93.5</v>
      </c>
      <c r="C7">
        <v>87.5</v>
      </c>
      <c r="D7">
        <f t="shared" si="0"/>
        <v>6.5</v>
      </c>
      <c r="E7">
        <f t="shared" si="1"/>
        <v>0.71</v>
      </c>
    </row>
    <row r="8" spans="1:5" ht="20" x14ac:dyDescent="0.2">
      <c r="A8" s="2" t="s">
        <v>7</v>
      </c>
      <c r="B8">
        <v>95.3</v>
      </c>
      <c r="C8">
        <v>89.8</v>
      </c>
      <c r="D8">
        <f t="shared" si="0"/>
        <v>4.7000000000000028</v>
      </c>
      <c r="E8">
        <f t="shared" si="1"/>
        <v>0.79</v>
      </c>
    </row>
    <row r="9" spans="1:5" ht="20" x14ac:dyDescent="0.2">
      <c r="A9" s="2" t="s">
        <v>8</v>
      </c>
      <c r="B9">
        <v>89.3</v>
      </c>
      <c r="C9">
        <v>95.5</v>
      </c>
      <c r="D9">
        <f t="shared" si="0"/>
        <v>10.700000000000003</v>
      </c>
      <c r="E9">
        <f t="shared" si="1"/>
        <v>0.52</v>
      </c>
    </row>
    <row r="10" spans="1:5" ht="20" x14ac:dyDescent="0.2">
      <c r="A10" s="2" t="s">
        <v>9</v>
      </c>
      <c r="B10">
        <v>90.9</v>
      </c>
      <c r="C10">
        <v>95</v>
      </c>
      <c r="D10">
        <f t="shared" si="0"/>
        <v>9.0999999999999943</v>
      </c>
      <c r="E10">
        <f t="shared" si="1"/>
        <v>0.59</v>
      </c>
    </row>
    <row r="11" spans="1:5" ht="20" x14ac:dyDescent="0.2">
      <c r="A11" s="2" t="s">
        <v>10</v>
      </c>
      <c r="B11">
        <v>92</v>
      </c>
      <c r="C11">
        <v>88.4</v>
      </c>
      <c r="D11">
        <f t="shared" si="0"/>
        <v>8</v>
      </c>
      <c r="E11">
        <f t="shared" si="1"/>
        <v>0.64</v>
      </c>
    </row>
    <row r="12" spans="1:5" ht="20" x14ac:dyDescent="0.2">
      <c r="A12" s="2" t="s">
        <v>11</v>
      </c>
      <c r="B12">
        <v>91.7</v>
      </c>
      <c r="C12">
        <v>95.9</v>
      </c>
      <c r="D12">
        <f t="shared" si="0"/>
        <v>8.2999999999999972</v>
      </c>
      <c r="E12">
        <f t="shared" si="1"/>
        <v>0.63</v>
      </c>
    </row>
    <row r="17" spans="1:7" x14ac:dyDescent="0.2">
      <c r="A17" s="1" t="s">
        <v>0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</row>
    <row r="18" spans="1:7" s="4" customFormat="1" ht="20" x14ac:dyDescent="0.2">
      <c r="A18" s="3" t="s">
        <v>1</v>
      </c>
      <c r="B18" s="4">
        <v>77.7</v>
      </c>
      <c r="C18" s="4">
        <v>80.099999999999994</v>
      </c>
      <c r="D18" s="4">
        <f>100-B18</f>
        <v>22.299999999999997</v>
      </c>
      <c r="F18" s="4">
        <f>1-C18/100</f>
        <v>0.19900000000000007</v>
      </c>
    </row>
    <row r="19" spans="1:7" s="6" customFormat="1" ht="20" x14ac:dyDescent="0.2">
      <c r="A19" s="5" t="s">
        <v>2</v>
      </c>
      <c r="B19" s="6">
        <v>86.4</v>
      </c>
      <c r="C19" s="6">
        <v>85.5</v>
      </c>
      <c r="D19" s="6">
        <f>100-B19</f>
        <v>13.599999999999994</v>
      </c>
      <c r="E19" s="6">
        <f>ROUND(1-D19/$D$19,2)</f>
        <v>0</v>
      </c>
      <c r="F19" s="6">
        <f t="shared" ref="F19:F28" si="2">1-C19/100</f>
        <v>0.14500000000000002</v>
      </c>
    </row>
    <row r="20" spans="1:7" s="4" customFormat="1" ht="20" x14ac:dyDescent="0.2">
      <c r="A20" s="3" t="s">
        <v>3</v>
      </c>
      <c r="B20" s="4">
        <v>90.6</v>
      </c>
      <c r="C20" s="4">
        <v>90.6</v>
      </c>
      <c r="D20" s="4">
        <f t="shared" ref="D20:D28" si="3">100-B20</f>
        <v>9.4000000000000057</v>
      </c>
      <c r="E20" s="4">
        <f t="shared" ref="E20:E28" si="4">ROUND(1-D20/$D$19,2)</f>
        <v>0.31</v>
      </c>
      <c r="F20" s="4">
        <f t="shared" si="2"/>
        <v>9.4000000000000083E-2</v>
      </c>
      <c r="G20" s="4">
        <f>1-F20/F$19</f>
        <v>0.35172413793103396</v>
      </c>
    </row>
    <row r="21" spans="1:7" s="4" customFormat="1" ht="20" x14ac:dyDescent="0.2">
      <c r="A21" s="3" t="s">
        <v>4</v>
      </c>
      <c r="B21" s="4">
        <v>89.7</v>
      </c>
      <c r="C21" s="4">
        <v>95.5</v>
      </c>
      <c r="D21" s="4">
        <f t="shared" si="3"/>
        <v>10.299999999999997</v>
      </c>
      <c r="E21" s="4">
        <f t="shared" si="4"/>
        <v>0.24</v>
      </c>
      <c r="F21" s="4">
        <f t="shared" si="2"/>
        <v>4.500000000000004E-2</v>
      </c>
      <c r="G21" s="4">
        <f t="shared" ref="G21:G28" si="5">1-F21/F$19</f>
        <v>0.68965517241379293</v>
      </c>
    </row>
    <row r="22" spans="1:7" ht="20" x14ac:dyDescent="0.2">
      <c r="A22" s="2" t="s">
        <v>5</v>
      </c>
      <c r="B22">
        <v>90.2</v>
      </c>
      <c r="C22">
        <v>98.3</v>
      </c>
      <c r="D22">
        <f t="shared" si="3"/>
        <v>9.7999999999999972</v>
      </c>
      <c r="E22">
        <f t="shared" si="4"/>
        <v>0.28000000000000003</v>
      </c>
      <c r="F22">
        <f t="shared" si="2"/>
        <v>1.7000000000000015E-2</v>
      </c>
      <c r="G22">
        <f t="shared" si="5"/>
        <v>0.88275862068965505</v>
      </c>
    </row>
    <row r="23" spans="1:7" ht="20" x14ac:dyDescent="0.2">
      <c r="A23" s="2" t="s">
        <v>6</v>
      </c>
      <c r="B23">
        <v>93.5</v>
      </c>
      <c r="C23">
        <v>87.5</v>
      </c>
      <c r="D23">
        <f t="shared" si="3"/>
        <v>6.5</v>
      </c>
      <c r="E23">
        <f t="shared" si="4"/>
        <v>0.52</v>
      </c>
      <c r="F23">
        <f t="shared" si="2"/>
        <v>0.125</v>
      </c>
      <c r="G23">
        <f t="shared" si="5"/>
        <v>0.13793103448275867</v>
      </c>
    </row>
    <row r="24" spans="1:7" ht="20" x14ac:dyDescent="0.2">
      <c r="A24" s="2" t="s">
        <v>7</v>
      </c>
      <c r="B24">
        <v>95.3</v>
      </c>
      <c r="C24">
        <v>89.8</v>
      </c>
      <c r="D24">
        <f t="shared" si="3"/>
        <v>4.7000000000000028</v>
      </c>
      <c r="E24">
        <f t="shared" si="4"/>
        <v>0.65</v>
      </c>
      <c r="F24">
        <f t="shared" si="2"/>
        <v>0.10199999999999998</v>
      </c>
      <c r="G24">
        <f t="shared" si="5"/>
        <v>0.29655172413793129</v>
      </c>
    </row>
    <row r="25" spans="1:7" ht="20" x14ac:dyDescent="0.2">
      <c r="A25" s="2" t="s">
        <v>8</v>
      </c>
      <c r="B25">
        <v>89.3</v>
      </c>
      <c r="C25">
        <v>95.5</v>
      </c>
      <c r="D25">
        <f t="shared" si="3"/>
        <v>10.700000000000003</v>
      </c>
      <c r="E25">
        <f t="shared" si="4"/>
        <v>0.21</v>
      </c>
      <c r="F25">
        <f t="shared" si="2"/>
        <v>4.500000000000004E-2</v>
      </c>
      <c r="G25">
        <f t="shared" si="5"/>
        <v>0.68965517241379293</v>
      </c>
    </row>
    <row r="26" spans="1:7" ht="20" x14ac:dyDescent="0.2">
      <c r="A26" s="2" t="s">
        <v>9</v>
      </c>
      <c r="B26">
        <v>90.9</v>
      </c>
      <c r="C26">
        <v>95</v>
      </c>
      <c r="D26">
        <f t="shared" si="3"/>
        <v>9.0999999999999943</v>
      </c>
      <c r="E26">
        <f t="shared" si="4"/>
        <v>0.33</v>
      </c>
      <c r="F26">
        <f t="shared" si="2"/>
        <v>5.0000000000000044E-2</v>
      </c>
      <c r="G26">
        <f t="shared" si="5"/>
        <v>0.6551724137931032</v>
      </c>
    </row>
    <row r="27" spans="1:7" s="4" customFormat="1" ht="20" x14ac:dyDescent="0.2">
      <c r="A27" s="3" t="s">
        <v>10</v>
      </c>
      <c r="B27" s="4">
        <v>92</v>
      </c>
      <c r="C27" s="4">
        <v>88.4</v>
      </c>
      <c r="D27" s="4">
        <f t="shared" si="3"/>
        <v>8</v>
      </c>
      <c r="E27" s="4">
        <f t="shared" si="4"/>
        <v>0.41</v>
      </c>
      <c r="F27" s="4">
        <f t="shared" si="2"/>
        <v>0.11599999999999999</v>
      </c>
      <c r="G27" s="4">
        <f t="shared" si="5"/>
        <v>0.20000000000000018</v>
      </c>
    </row>
    <row r="28" spans="1:7" ht="20" x14ac:dyDescent="0.2">
      <c r="A28" s="2" t="s">
        <v>11</v>
      </c>
      <c r="B28">
        <v>91.7</v>
      </c>
      <c r="C28">
        <v>95.9</v>
      </c>
      <c r="D28">
        <f t="shared" si="3"/>
        <v>8.2999999999999972</v>
      </c>
      <c r="E28">
        <f t="shared" si="4"/>
        <v>0.39</v>
      </c>
      <c r="F28">
        <f t="shared" si="2"/>
        <v>4.0999999999999925E-2</v>
      </c>
      <c r="G28">
        <f t="shared" si="5"/>
        <v>0.71724137931034537</v>
      </c>
    </row>
    <row r="33" spans="4:5" x14ac:dyDescent="0.2">
      <c r="D33" t="s">
        <v>17</v>
      </c>
      <c r="E33">
        <f>AVERAGE(G20,G21,G27)</f>
        <v>0.41379310344827563</v>
      </c>
    </row>
  </sheetData>
  <hyperlinks>
    <hyperlink ref="A1" r:id="rId1" location="jia270003-bib-0014" display="https://onlinelibrary.wiley.com/doi/10.1002/jia2.70003 - jia270003-bib-0014" xr:uid="{C5AD09CA-C4C5-4F4A-9A66-B685184CBB58}"/>
    <hyperlink ref="A17" r:id="rId2" location="jia270003-bib-0014" display="https://onlinelibrary.wiley.com/doi/10.1002/jia2.70003 - jia270003-bib-0014" xr:uid="{9DBDE3C3-453D-FD4E-A840-D3C5CA3BB9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2026-04-14T07:54:43Z</dcterms:created>
  <dcterms:modified xsi:type="dcterms:W3CDTF">2026-04-21T11:57:17Z</dcterms:modified>
</cp:coreProperties>
</file>